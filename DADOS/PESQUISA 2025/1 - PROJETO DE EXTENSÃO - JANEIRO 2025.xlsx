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STAO DA ECONOMIA " sheetId="1" r:id="rId4"/>
    <sheet state="visible" name="BH VAREJO" sheetId="2" r:id="rId5"/>
    <sheet state="visible" name="CARIBÉ " sheetId="3" r:id="rId6"/>
    <sheet state="visible" name="TERRA NORTE" sheetId="4" r:id="rId7"/>
    <sheet state="visible" name="PAG POUCO" sheetId="5" r:id="rId8"/>
    <sheet state="visible" name="ROCHA" sheetId="6" r:id="rId9"/>
    <sheet state="visible" name="UNIÃO MEGA FEIRA" sheetId="7" r:id="rId10"/>
    <sheet state="visible" name="CESTÃO BAIRRO" sheetId="8" r:id="rId11"/>
    <sheet state="visible" name="BH ATACADO" sheetId="9" r:id="rId12"/>
    <sheet state="visible" name="BOM PREÇO " sheetId="10" r:id="rId13"/>
    <sheet state="visible" name="SUPER MAAR" sheetId="11" r:id="rId14"/>
    <sheet state="visible" name="PREÇO BAIXO" sheetId="12" r:id="rId15"/>
    <sheet state="visible" name="NACIONAL " sheetId="13" r:id="rId16"/>
    <sheet state="visible" name="MART MINAS" sheetId="14" r:id="rId17"/>
    <sheet state="visible" name="COMBUSTÍVEL" sheetId="15" r:id="rId18"/>
  </sheets>
  <definedNames/>
  <calcPr/>
</workbook>
</file>

<file path=xl/sharedStrings.xml><?xml version="1.0" encoding="utf-8"?>
<sst xmlns="http://schemas.openxmlformats.org/spreadsheetml/2006/main" count="2267" uniqueCount="275">
  <si>
    <t xml:space="preserve">Supermercado: Cestão da economia </t>
  </si>
  <si>
    <t>Mês/ano: 21/01/2025</t>
  </si>
  <si>
    <t>ARROZ (5kg)</t>
  </si>
  <si>
    <t>Codil</t>
  </si>
  <si>
    <t>Codisul</t>
  </si>
  <si>
    <t xml:space="preserve">Vasconcelos </t>
  </si>
  <si>
    <t>Total</t>
  </si>
  <si>
    <t>Média</t>
  </si>
  <si>
    <t>Quantidade</t>
  </si>
  <si>
    <t>Unidade</t>
  </si>
  <si>
    <t>TOTAL</t>
  </si>
  <si>
    <t>Kg</t>
  </si>
  <si>
    <t>FEIJÃO (1kg)</t>
  </si>
  <si>
    <t>Agrominas</t>
  </si>
  <si>
    <t>Vasconcelos</t>
  </si>
  <si>
    <t>AÇÚCAR (5kg)</t>
  </si>
  <si>
    <t>Delta</t>
  </si>
  <si>
    <t xml:space="preserve">Cristal de minas </t>
  </si>
  <si>
    <t>Gran Petit</t>
  </si>
  <si>
    <t>CAFÉ / em pó (500g)</t>
  </si>
  <si>
    <t>3 Corações</t>
  </si>
  <si>
    <t>Letícia</t>
  </si>
  <si>
    <t>Dona Íri</t>
  </si>
  <si>
    <t>FARINHA DE TRIGO (1kg)</t>
  </si>
  <si>
    <t>Globo</t>
  </si>
  <si>
    <t>Dona Benta</t>
  </si>
  <si>
    <t>Vilma</t>
  </si>
  <si>
    <t>FARINHA DE MAND. (1kg)</t>
  </si>
  <si>
    <t>Pachá</t>
  </si>
  <si>
    <t>Xap</t>
  </si>
  <si>
    <t>Agric./famíliar</t>
  </si>
  <si>
    <t>BATATA (1kg)</t>
  </si>
  <si>
    <t>Batata Inglesa</t>
  </si>
  <si>
    <t>xxxxxxx</t>
  </si>
  <si>
    <t>CEBOLA (1kg)</t>
  </si>
  <si>
    <t>Cebola</t>
  </si>
  <si>
    <t>TOMATE (1kg)</t>
  </si>
  <si>
    <t>Tomate</t>
  </si>
  <si>
    <t>ALHO (1kg)</t>
  </si>
  <si>
    <t>Alho</t>
  </si>
  <si>
    <t>OVOS (1 Dz.)</t>
  </si>
  <si>
    <t>Branco</t>
  </si>
  <si>
    <t>Vermelho</t>
  </si>
  <si>
    <t>MARGARINA (250g)</t>
  </si>
  <si>
    <t>Qualy</t>
  </si>
  <si>
    <t>Doriana</t>
  </si>
  <si>
    <t>Delícia</t>
  </si>
  <si>
    <t>EXTRATO DE TOMATE (340g)</t>
  </si>
  <si>
    <t>Santa Amália</t>
  </si>
  <si>
    <t xml:space="preserve">Elefante </t>
  </si>
  <si>
    <t>Colonial</t>
  </si>
  <si>
    <t>PÃO FRANCÊS (1kg)</t>
  </si>
  <si>
    <t>Pão</t>
  </si>
  <si>
    <t>FRUTA / BANANA (1kg)</t>
  </si>
  <si>
    <t>Prata</t>
  </si>
  <si>
    <t>Caturra</t>
  </si>
  <si>
    <t>ÓLEO DE SOJA (900ml)</t>
  </si>
  <si>
    <t>ABC</t>
  </si>
  <si>
    <t>Liza</t>
  </si>
  <si>
    <t>Corcovado</t>
  </si>
  <si>
    <t>LEITE (1L)</t>
  </si>
  <si>
    <t>Itambé</t>
  </si>
  <si>
    <t>Cemil</t>
  </si>
  <si>
    <t>Camponesa</t>
  </si>
  <si>
    <t>LEITE EM PÓ (450g)</t>
  </si>
  <si>
    <t xml:space="preserve">Piracanjuba </t>
  </si>
  <si>
    <t>MACARRÃO (pac. 500g)</t>
  </si>
  <si>
    <t>Galo</t>
  </si>
  <si>
    <t>BISCOITO MAISENA (pac. 200g)</t>
  </si>
  <si>
    <t xml:space="preserve">Bauducco </t>
  </si>
  <si>
    <t>Marilan</t>
  </si>
  <si>
    <t>Aymoré</t>
  </si>
  <si>
    <t>CARNE DE PRIMEIRA (1kg)</t>
  </si>
  <si>
    <t>Contra-filé</t>
  </si>
  <si>
    <t>Alcatra</t>
  </si>
  <si>
    <t>Chá de fora</t>
  </si>
  <si>
    <t>CARNE DE SEGUNDA (1kg)</t>
  </si>
  <si>
    <t>Acém</t>
  </si>
  <si>
    <t>Costela</t>
  </si>
  <si>
    <t>Músculo</t>
  </si>
  <si>
    <t>FRANGO RESFRIADO INT. (1kg)</t>
  </si>
  <si>
    <t xml:space="preserve">Ferreira </t>
  </si>
  <si>
    <t>Sadia</t>
  </si>
  <si>
    <t>SALSICHA AVULSA (1kg)</t>
  </si>
  <si>
    <t>Frial</t>
  </si>
  <si>
    <t>Pif-paf</t>
  </si>
  <si>
    <t>LINGUIÇA TOSCANA FRESCA (1kg)</t>
  </si>
  <si>
    <t xml:space="preserve">Saudalli </t>
  </si>
  <si>
    <t>QUEIJO MUSSARELA FAT. (1kg)</t>
  </si>
  <si>
    <t>Copatos</t>
  </si>
  <si>
    <t>Quero</t>
  </si>
  <si>
    <t>Porto Alegre</t>
  </si>
  <si>
    <t>Sub-Tota</t>
  </si>
  <si>
    <t>SABÃO EM PÓ (800g)</t>
  </si>
  <si>
    <t>Tixan Ypê</t>
  </si>
  <si>
    <t>Brilhante</t>
  </si>
  <si>
    <t>OMO</t>
  </si>
  <si>
    <t>SABÃO EM BARRA (unid.)</t>
  </si>
  <si>
    <t>Razzo</t>
  </si>
  <si>
    <t>Ypê</t>
  </si>
  <si>
    <t>ÁGUA SANITÁRIA (1L)</t>
  </si>
  <si>
    <t>Santa Clara</t>
  </si>
  <si>
    <t>Mais</t>
  </si>
  <si>
    <t>DETERGENTE (500 ml)</t>
  </si>
  <si>
    <t>Minuano</t>
  </si>
  <si>
    <t>Limpol</t>
  </si>
  <si>
    <t>Sub-Total</t>
  </si>
  <si>
    <t>PRODUTOS DE HIGIENE PESSOAL</t>
  </si>
  <si>
    <t>PAPEL HIGIÊNICO (pac. 4 unid.)</t>
  </si>
  <si>
    <t>Paradiso</t>
  </si>
  <si>
    <t>Zapel plus</t>
  </si>
  <si>
    <t>Bob</t>
  </si>
  <si>
    <t>CREME DENTAL (tubo 90g)</t>
  </si>
  <si>
    <t>Colgate</t>
  </si>
  <si>
    <t>Sorriso</t>
  </si>
  <si>
    <t>SABONETE (90g)</t>
  </si>
  <si>
    <t>Lux</t>
  </si>
  <si>
    <t>Palmolive</t>
  </si>
  <si>
    <t xml:space="preserve">Albany </t>
  </si>
  <si>
    <t>DESODORANTE SPRAY (100ml)</t>
  </si>
  <si>
    <t xml:space="preserve">Rexona </t>
  </si>
  <si>
    <t>Nivea</t>
  </si>
  <si>
    <t>ABSORVENTE (pac. 8 unid.)</t>
  </si>
  <si>
    <t>Sym</t>
  </si>
  <si>
    <t>Intimus</t>
  </si>
  <si>
    <t xml:space="preserve">Supermercado: BH VAREJO </t>
  </si>
  <si>
    <t>Sepé</t>
  </si>
  <si>
    <t>Eldorado</t>
  </si>
  <si>
    <t>Cristal</t>
  </si>
  <si>
    <t>Bruçúcar</t>
  </si>
  <si>
    <t>Fino Grão</t>
  </si>
  <si>
    <t xml:space="preserve">Globo </t>
  </si>
  <si>
    <t>Gostosao</t>
  </si>
  <si>
    <t>Ama Fil</t>
  </si>
  <si>
    <t>Soya</t>
  </si>
  <si>
    <t>Nutril</t>
  </si>
  <si>
    <t>Yara</t>
  </si>
  <si>
    <t>Mabel</t>
  </si>
  <si>
    <t>Coxão Mole</t>
  </si>
  <si>
    <t>Coxão Duro</t>
  </si>
  <si>
    <t xml:space="preserve">Perdigão </t>
  </si>
  <si>
    <t>Saudali</t>
  </si>
  <si>
    <t>Saboroso</t>
  </si>
  <si>
    <t>Vista Alegre</t>
  </si>
  <si>
    <t>LIMPEZA DOMÉSTICA</t>
  </si>
  <si>
    <t>SABÃO EM PÓ (500g)</t>
  </si>
  <si>
    <t>Super globo</t>
  </si>
  <si>
    <t>Tuff</t>
  </si>
  <si>
    <t>Qboa</t>
  </si>
  <si>
    <t>Valor</t>
  </si>
  <si>
    <t>Personal</t>
  </si>
  <si>
    <t>Rexona</t>
  </si>
  <si>
    <t xml:space="preserve">Monange </t>
  </si>
  <si>
    <t>Supermercado: CARIBÉ</t>
  </si>
  <si>
    <t>Milu</t>
  </si>
  <si>
    <t>Vale</t>
  </si>
  <si>
    <t xml:space="preserve">Supermercado: TERRA NORTE </t>
  </si>
  <si>
    <t>Pif paf</t>
  </si>
  <si>
    <t>Supermercado: PAG POUCO</t>
  </si>
  <si>
    <t>xxxxxx</t>
  </si>
  <si>
    <t>Suacui</t>
  </si>
  <si>
    <t>Santa clara</t>
  </si>
  <si>
    <t>Polylar</t>
  </si>
  <si>
    <t>Supermercado: ROCHA</t>
  </si>
  <si>
    <t>Martins</t>
  </si>
  <si>
    <t>Fino Grã</t>
  </si>
  <si>
    <t xml:space="preserve">Flamboyant </t>
  </si>
  <si>
    <t>Avivar</t>
  </si>
  <si>
    <t>Vida</t>
  </si>
  <si>
    <t>Supermercado: UNIÃO</t>
  </si>
  <si>
    <t xml:space="preserve">Saboroso </t>
  </si>
  <si>
    <t>Supler globo</t>
  </si>
  <si>
    <t xml:space="preserve">Supermercado: CESTÃO BAIRRO </t>
  </si>
  <si>
    <t>Dia Dinha</t>
  </si>
  <si>
    <t xml:space="preserve">Pachá </t>
  </si>
  <si>
    <t>EXTRATO DE TOMATE (300g)</t>
  </si>
  <si>
    <t>Fugini</t>
  </si>
  <si>
    <t xml:space="preserve">Colonial </t>
  </si>
  <si>
    <t>LEITE EM PÓ (400g)</t>
  </si>
  <si>
    <t>Piracanjuba</t>
  </si>
  <si>
    <t>ferreira</t>
  </si>
  <si>
    <t>Friall</t>
  </si>
  <si>
    <t>Pifpaf</t>
  </si>
  <si>
    <t xml:space="preserve">Premiada </t>
  </si>
  <si>
    <t>Coopatos</t>
  </si>
  <si>
    <t>SABÃO EM PÓ (400g)</t>
  </si>
  <si>
    <t xml:space="preserve">Minuano </t>
  </si>
  <si>
    <t xml:space="preserve">Ypê </t>
  </si>
  <si>
    <t>Azulim</t>
  </si>
  <si>
    <t>Mili</t>
  </si>
  <si>
    <t xml:space="preserve">Closeup </t>
  </si>
  <si>
    <t>Albany</t>
  </si>
  <si>
    <t xml:space="preserve">Nívea </t>
  </si>
  <si>
    <t>Sempre livre</t>
  </si>
  <si>
    <t>Supermercado: BH ATACADO E VAREJO</t>
  </si>
  <si>
    <t xml:space="preserve">Dona Íris </t>
  </si>
  <si>
    <t>músculo</t>
  </si>
  <si>
    <t xml:space="preserve">Santa Clara </t>
  </si>
  <si>
    <t xml:space="preserve">Supermercado: BOM PREÇO </t>
  </si>
  <si>
    <t xml:space="preserve">Da Dinha </t>
  </si>
  <si>
    <t>Concordia</t>
  </si>
  <si>
    <t xml:space="preserve">Alcatra </t>
  </si>
  <si>
    <t>Patinho</t>
  </si>
  <si>
    <t>Sem marca</t>
  </si>
  <si>
    <t>Perdigão</t>
  </si>
  <si>
    <t>Premiada</t>
  </si>
  <si>
    <t>SABÃO EM PÓ (1kg)</t>
  </si>
  <si>
    <t xml:space="preserve">Limpol </t>
  </si>
  <si>
    <t xml:space="preserve">Mili </t>
  </si>
  <si>
    <t>Monange</t>
  </si>
  <si>
    <t xml:space="preserve">Supermercado: SUPER MAAR </t>
  </si>
  <si>
    <t xml:space="preserve">Martins </t>
  </si>
  <si>
    <t>Amaral</t>
  </si>
  <si>
    <t>Becel</t>
  </si>
  <si>
    <t>Nutri</t>
  </si>
  <si>
    <t>Cotochés</t>
  </si>
  <si>
    <t>Yar</t>
  </si>
  <si>
    <t>Aymore</t>
  </si>
  <si>
    <t>Lagarto</t>
  </si>
  <si>
    <t xml:space="preserve">Acém </t>
  </si>
  <si>
    <t>cogran</t>
  </si>
  <si>
    <t xml:space="preserve">Mili Bianco </t>
  </si>
  <si>
    <t>Palmolivw</t>
  </si>
  <si>
    <t>Cores ( bax flower)</t>
  </si>
  <si>
    <t>Always</t>
  </si>
  <si>
    <t>Supermercado: PREÇO BAIXO</t>
  </si>
  <si>
    <t>Cristal de minas</t>
  </si>
  <si>
    <t>Claybom</t>
  </si>
  <si>
    <t>PÃO FRANCÊS (1kg) preço da unidade</t>
  </si>
  <si>
    <t xml:space="preserve">Chá de fora </t>
  </si>
  <si>
    <t>FRANGO RESFRIADO INT. (1kg) congelado</t>
  </si>
  <si>
    <t>Fredini</t>
  </si>
  <si>
    <t>Confran</t>
  </si>
  <si>
    <t xml:space="preserve">Suíço </t>
  </si>
  <si>
    <t>CREME DENTAL (tubo 70g)</t>
  </si>
  <si>
    <t>SABONETE (85g)</t>
  </si>
  <si>
    <t xml:space="preserve">Supermercado: NACIONAL </t>
  </si>
  <si>
    <t>Laçúcar</t>
  </si>
  <si>
    <t>Ribeirão</t>
  </si>
  <si>
    <t xml:space="preserve">Codil </t>
  </si>
  <si>
    <t>Batata Ingles</t>
  </si>
  <si>
    <t>EXTRATO DE TOMATE (350g)</t>
  </si>
  <si>
    <t>Minas</t>
  </si>
  <si>
    <t xml:space="preserve">Veleiro </t>
  </si>
  <si>
    <t>Italac</t>
  </si>
  <si>
    <t>Mara</t>
  </si>
  <si>
    <t xml:space="preserve">Paleta </t>
  </si>
  <si>
    <t>Cogran</t>
  </si>
  <si>
    <t xml:space="preserve">Suíno </t>
  </si>
  <si>
    <t>Saborosa</t>
  </si>
  <si>
    <t>Plus</t>
  </si>
  <si>
    <t xml:space="preserve">Supermercado: Mart Minas </t>
  </si>
  <si>
    <t xml:space="preserve">Cocal mirim </t>
  </si>
  <si>
    <t xml:space="preserve">Código Premium </t>
  </si>
  <si>
    <t xml:space="preserve">Predileta </t>
  </si>
  <si>
    <t>Bonore</t>
  </si>
  <si>
    <t xml:space="preserve">Classic </t>
  </si>
  <si>
    <t>COMBUSTÍVEL                                                           Mês/Ano: 21/01/2025</t>
  </si>
  <si>
    <t>Postos</t>
  </si>
  <si>
    <t>Produtos</t>
  </si>
  <si>
    <t>POSTO BH (1L)</t>
  </si>
  <si>
    <t>Gasolina</t>
  </si>
  <si>
    <t>Álcool</t>
  </si>
  <si>
    <t>Diesel</t>
  </si>
  <si>
    <t>POSTO JB COMBUSTIVES (1L)</t>
  </si>
  <si>
    <t>POSTO JB COMBUSTIVES II (1L)</t>
  </si>
  <si>
    <t>POSTO ALVORADA (1L)</t>
  </si>
  <si>
    <t>POSTO ALVORADA  II (1L)</t>
  </si>
  <si>
    <t>POSTO CENTRAL  (1L)</t>
  </si>
  <si>
    <t>POSTO (1L)</t>
  </si>
  <si>
    <t>POSTO PARAGUASSÚ (1L)</t>
  </si>
  <si>
    <t>POSTO  CARRANCAS(1L)</t>
  </si>
  <si>
    <t>POSTO VIP (1L)</t>
  </si>
  <si>
    <t>POSTO  OLIVEIRA (1L)</t>
  </si>
  <si>
    <t>POSTO OLIVEIRA II (1L)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</si>
</sst>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R$&quot;* #,##0.00_-;\-&quot;R$&quot;* #,##0.00_-;_-&quot;R$&quot;* &quot;-&quot;??_-;_-@"/>
    <numFmt numFmtId="165" formatCode="&quot;R$&quot;\ #,##0.00"/>
  </numFmts>
  <fonts count="19">
    <font>
      <sz val="11.0"/>
      <color theme="1"/>
      <name val="Calibri"/>
      <scheme val="minor"/>
    </font>
    <font>
      <sz val="12.0"/>
      <color theme="1"/>
      <name val="Times New Roman"/>
    </font>
    <font>
      <sz val="12.0"/>
      <color theme="1"/>
      <name val="Calibri"/>
    </font>
    <font>
      <b/>
      <sz val="12.0"/>
      <color theme="1"/>
      <name val="Times New Roman"/>
    </font>
    <font/>
    <font>
      <b/>
      <sz val="12.0"/>
      <color rgb="FFFF0000"/>
      <name val="Times New Roman"/>
    </font>
    <font>
      <sz val="11.0"/>
      <color theme="1"/>
      <name val="Arial"/>
    </font>
    <font>
      <b/>
      <sz val="12.0"/>
      <color theme="1"/>
      <name val="&quot;Times New Roman&quot;"/>
    </font>
    <font>
      <sz val="12.0"/>
      <color theme="1"/>
      <name val="&quot;Times New Roman&quot;"/>
    </font>
    <font>
      <b/>
      <sz val="12.0"/>
      <color rgb="FFFF0000"/>
      <name val="&quot;Times New Roman&quot;"/>
    </font>
    <font>
      <color theme="1"/>
      <name val="Calibri"/>
      <scheme val="minor"/>
    </font>
    <font>
      <sz val="11.0"/>
      <color rgb="FFFF0000"/>
      <name val="Arial"/>
    </font>
    <font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0" fillId="0" fontId="1" numFmtId="0" xfId="0" applyFont="1"/>
    <xf borderId="0" fillId="0" fontId="2" numFmtId="0" xfId="0" applyFont="1"/>
    <xf borderId="4" fillId="0" fontId="3" numFmtId="0" xfId="0" applyAlignment="1" applyBorder="1" applyFont="1">
      <alignment horizontal="left" readingOrder="0"/>
    </xf>
    <xf borderId="5" fillId="0" fontId="4" numFmtId="0" xfId="0" applyBorder="1" applyFont="1"/>
    <xf borderId="6" fillId="0" fontId="4" numFmtId="0" xfId="0" applyBorder="1" applyFont="1"/>
    <xf borderId="4" fillId="0" fontId="3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left" vertical="center"/>
    </xf>
    <xf borderId="9" fillId="0" fontId="4" numFmtId="0" xfId="0" applyBorder="1" applyFont="1"/>
    <xf borderId="10" fillId="2" fontId="1" numFmtId="0" xfId="0" applyAlignment="1" applyBorder="1" applyFill="1" applyFont="1">
      <alignment readingOrder="0"/>
    </xf>
    <xf borderId="10" fillId="2" fontId="1" numFmtId="0" xfId="0" applyBorder="1" applyFont="1"/>
    <xf borderId="10" fillId="2" fontId="3" numFmtId="0" xfId="0" applyBorder="1" applyFont="1"/>
    <xf borderId="11" fillId="3" fontId="1" numFmtId="0" xfId="0" applyBorder="1" applyFill="1" applyFont="1"/>
    <xf borderId="12" fillId="2" fontId="1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5" numFmtId="164" xfId="0" applyAlignment="1" applyBorder="1" applyFont="1" applyNumberFormat="1">
      <alignment readingOrder="0" vertical="center"/>
    </xf>
    <xf borderId="16" fillId="0" fontId="1" numFmtId="165" xfId="0" applyAlignment="1" applyBorder="1" applyFont="1" applyNumberFormat="1">
      <alignment horizontal="left"/>
    </xf>
    <xf borderId="16" fillId="0" fontId="3" numFmtId="165" xfId="0" applyAlignment="1" applyBorder="1" applyFont="1" applyNumberFormat="1">
      <alignment horizontal="left"/>
    </xf>
    <xf borderId="16" fillId="0" fontId="1" numFmtId="0" xfId="0" applyAlignment="1" applyBorder="1" applyFont="1">
      <alignment horizontal="right"/>
    </xf>
    <xf borderId="16" fillId="0" fontId="1" numFmtId="0" xfId="0" applyAlignment="1" applyBorder="1" applyFont="1">
      <alignment horizontal="center"/>
    </xf>
    <xf borderId="17" fillId="0" fontId="1" numFmtId="165" xfId="0" applyAlignment="1" applyBorder="1" applyFont="1" applyNumberFormat="1">
      <alignment horizontal="center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left" vertical="center"/>
    </xf>
    <xf borderId="20" fillId="0" fontId="4" numFmtId="0" xfId="0" applyBorder="1" applyFont="1"/>
    <xf borderId="16" fillId="2" fontId="1" numFmtId="0" xfId="0" applyBorder="1" applyFont="1"/>
    <xf borderId="21" fillId="2" fontId="1" numFmtId="0" xfId="0" applyAlignment="1" applyBorder="1" applyFont="1">
      <alignment horizontal="center"/>
    </xf>
    <xf borderId="22" fillId="0" fontId="4" numFmtId="0" xfId="0" applyBorder="1" applyFont="1"/>
    <xf borderId="23" fillId="0" fontId="4" numFmtId="0" xfId="0" applyBorder="1" applyFont="1"/>
    <xf borderId="16" fillId="2" fontId="1" numFmtId="0" xfId="0" applyAlignment="1" applyBorder="1" applyFont="1">
      <alignment readingOrder="0"/>
    </xf>
    <xf borderId="16" fillId="0" fontId="5" numFmtId="164" xfId="0" applyAlignment="1" applyBorder="1" applyFont="1" applyNumberFormat="1">
      <alignment vertical="center"/>
    </xf>
    <xf borderId="0" fillId="0" fontId="1" numFmtId="0" xfId="0" applyAlignment="1" applyFont="1">
      <alignment horizontal="left"/>
    </xf>
    <xf borderId="24" fillId="0" fontId="1" numFmtId="0" xfId="0" applyAlignment="1" applyBorder="1" applyFont="1">
      <alignment horizontal="right"/>
    </xf>
    <xf borderId="24" fillId="0" fontId="1" numFmtId="0" xfId="0" applyAlignment="1" applyBorder="1" applyFont="1">
      <alignment horizontal="center"/>
    </xf>
    <xf borderId="25" fillId="0" fontId="5" numFmtId="0" xfId="0" applyAlignment="1" applyBorder="1" applyFont="1">
      <alignment horizontal="center" readingOrder="0"/>
    </xf>
    <xf borderId="26" fillId="0" fontId="4" numFmtId="0" xfId="0" applyBorder="1" applyFont="1"/>
    <xf borderId="21" fillId="0" fontId="5" numFmtId="165" xfId="0" applyBorder="1" applyFont="1" applyNumberFormat="1"/>
    <xf borderId="16" fillId="0" fontId="1" numFmtId="0" xfId="0" applyBorder="1" applyFont="1"/>
    <xf borderId="21" fillId="0" fontId="5" numFmtId="0" xfId="0" applyAlignment="1" applyBorder="1" applyFont="1">
      <alignment horizontal="center"/>
    </xf>
    <xf borderId="23" fillId="0" fontId="5" numFmtId="165" xfId="0" applyBorder="1" applyFont="1" applyNumberFormat="1"/>
    <xf borderId="25" fillId="0" fontId="3" numFmtId="0" xfId="0" applyAlignment="1" applyBorder="1" applyFont="1">
      <alignment horizontal="center"/>
    </xf>
    <xf borderId="19" fillId="0" fontId="1" numFmtId="0" xfId="0" applyAlignment="1" applyBorder="1" applyFont="1">
      <alignment horizontal="left" readingOrder="0" vertical="center"/>
    </xf>
    <xf borderId="25" fillId="0" fontId="5" numFmtId="0" xfId="0" applyAlignment="1" applyBorder="1" applyFont="1">
      <alignment horizontal="center"/>
    </xf>
    <xf borderId="16" fillId="0" fontId="5" numFmtId="165" xfId="0" applyBorder="1" applyFont="1" applyNumberFormat="1"/>
    <xf borderId="17" fillId="0" fontId="5" numFmtId="165" xfId="0" applyBorder="1" applyFont="1" applyNumberFormat="1"/>
    <xf borderId="27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5" numFmtId="165" xfId="0" applyFont="1" applyNumberFormat="1"/>
    <xf borderId="28" fillId="0" fontId="5" numFmtId="165" xfId="0" applyBorder="1" applyFont="1" applyNumberFormat="1"/>
    <xf borderId="16" fillId="0" fontId="5" numFmtId="0" xfId="0" applyBorder="1" applyFont="1"/>
    <xf borderId="29" fillId="0" fontId="5" numFmtId="0" xfId="0" applyAlignment="1" applyBorder="1" applyFont="1">
      <alignment horizontal="center"/>
    </xf>
    <xf borderId="30" fillId="0" fontId="5" numFmtId="0" xfId="0" applyAlignment="1" applyBorder="1" applyFont="1">
      <alignment horizontal="center"/>
    </xf>
    <xf borderId="30" fillId="0" fontId="5" numFmtId="165" xfId="0" applyBorder="1" applyFont="1" applyNumberFormat="1"/>
    <xf borderId="30" fillId="0" fontId="1" numFmtId="0" xfId="0" applyBorder="1" applyFont="1"/>
    <xf borderId="31" fillId="0" fontId="5" numFmtId="165" xfId="0" applyBorder="1" applyFont="1" applyNumberFormat="1"/>
    <xf borderId="4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29" fillId="0" fontId="7" numFmtId="0" xfId="0" applyAlignment="1" applyBorder="1" applyFont="1">
      <alignment readingOrder="0" vertical="bottom"/>
    </xf>
    <xf borderId="30" fillId="0" fontId="4" numFmtId="0" xfId="0" applyBorder="1" applyFont="1"/>
    <xf borderId="31" fillId="0" fontId="4" numFmtId="0" xfId="0" applyBorder="1" applyFont="1"/>
    <xf borderId="30" fillId="0" fontId="7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/>
    </xf>
    <xf borderId="0" fillId="0" fontId="8" numFmtId="0" xfId="0" applyFont="1"/>
    <xf borderId="15" fillId="2" fontId="8" numFmtId="0" xfId="0" applyAlignment="1" applyBorder="1" applyFont="1">
      <alignment vertical="bottom"/>
    </xf>
    <xf borderId="15" fillId="2" fontId="7" numFmtId="0" xfId="0" applyAlignment="1" applyBorder="1" applyFont="1">
      <alignment vertical="bottom"/>
    </xf>
    <xf borderId="9" fillId="0" fontId="6" numFmtId="0" xfId="0" applyAlignment="1" applyBorder="1" applyFont="1">
      <alignment vertical="bottom"/>
    </xf>
    <xf borderId="32" fillId="2" fontId="8" numFmtId="0" xfId="0" applyAlignment="1" applyBorder="1" applyFont="1">
      <alignment vertical="bottom"/>
    </xf>
    <xf borderId="33" fillId="0" fontId="4" numFmtId="0" xfId="0" applyBorder="1" applyFont="1"/>
    <xf borderId="15" fillId="0" fontId="9" numFmtId="164" xfId="0" applyAlignment="1" applyBorder="1" applyFont="1" applyNumberFormat="1">
      <alignment horizontal="right" readingOrder="0"/>
    </xf>
    <xf borderId="15" fillId="0" fontId="8" numFmtId="165" xfId="0" applyAlignment="1" applyBorder="1" applyFont="1" applyNumberFormat="1">
      <alignment vertical="bottom"/>
    </xf>
    <xf borderId="15" fillId="0" fontId="7" numFmtId="165" xfId="0" applyAlignment="1" applyBorder="1" applyFont="1" applyNumberFormat="1">
      <alignment vertical="bottom"/>
    </xf>
    <xf borderId="15" fillId="0" fontId="8" numFmtId="0" xfId="0" applyAlignment="1" applyBorder="1" applyFont="1">
      <alignment horizontal="right" vertical="bottom"/>
    </xf>
    <xf borderId="15" fillId="0" fontId="8" numFmtId="0" xfId="0" applyAlignment="1" applyBorder="1" applyFont="1">
      <alignment horizontal="center" vertical="bottom"/>
    </xf>
    <xf borderId="32" fillId="0" fontId="8" numFmtId="165" xfId="0" applyAlignment="1" applyBorder="1" applyFont="1" applyNumberFormat="1">
      <alignment horizontal="center" vertical="bottom"/>
    </xf>
    <xf borderId="33" fillId="0" fontId="10" numFmtId="0" xfId="0" applyBorder="1" applyFont="1"/>
    <xf borderId="32" fillId="0" fontId="4" numFmtId="0" xfId="0" applyBorder="1" applyFont="1"/>
    <xf borderId="15" fillId="2" fontId="8" numFmtId="0" xfId="0" applyAlignment="1" applyBorder="1" applyFont="1">
      <alignment readingOrder="0" vertical="bottom"/>
    </xf>
    <xf borderId="15" fillId="0" fontId="6" numFmtId="164" xfId="0" applyBorder="1" applyFont="1" applyNumberFormat="1"/>
    <xf borderId="15" fillId="0" fontId="6" numFmtId="0" xfId="0" applyAlignment="1" applyBorder="1" applyFont="1">
      <alignment vertical="bottom"/>
    </xf>
    <xf borderId="34" fillId="0" fontId="9" numFmtId="0" xfId="0" applyAlignment="1" applyBorder="1" applyFont="1">
      <alignment horizontal="center" vertical="bottom"/>
    </xf>
    <xf borderId="15" fillId="0" fontId="9" numFmtId="165" xfId="0" applyAlignment="1" applyBorder="1" applyFont="1" applyNumberFormat="1">
      <alignment horizontal="right" vertical="bottom"/>
    </xf>
    <xf borderId="33" fillId="0" fontId="9" numFmtId="0" xfId="0" applyAlignment="1" applyBorder="1" applyFont="1">
      <alignment horizontal="center" vertical="bottom"/>
    </xf>
    <xf borderId="32" fillId="0" fontId="9" numFmtId="165" xfId="0" applyAlignment="1" applyBorder="1" applyFont="1" applyNumberFormat="1">
      <alignment horizontal="right" vertical="bottom"/>
    </xf>
    <xf borderId="34" fillId="0" fontId="7" numFmtId="0" xfId="0" applyAlignment="1" applyBorder="1" applyFont="1">
      <alignment horizontal="center" vertical="bottom"/>
    </xf>
    <xf borderId="27" fillId="0" fontId="6" numFmtId="0" xfId="0" applyAlignment="1" applyBorder="1" applyFont="1">
      <alignment vertical="bottom"/>
    </xf>
    <xf borderId="0" fillId="0" fontId="6" numFmtId="165" xfId="0" applyAlignment="1" applyFont="1" applyNumberFormat="1">
      <alignment vertical="bottom"/>
    </xf>
    <xf borderId="28" fillId="0" fontId="6" numFmtId="165" xfId="0" applyAlignment="1" applyBorder="1" applyFont="1" applyNumberFormat="1">
      <alignment vertical="bottom"/>
    </xf>
    <xf borderId="33" fillId="0" fontId="6" numFmtId="0" xfId="0" applyAlignment="1" applyBorder="1" applyFont="1">
      <alignment vertical="bottom"/>
    </xf>
    <xf borderId="33" fillId="0" fontId="6" numFmtId="165" xfId="0" applyAlignment="1" applyBorder="1" applyFont="1" applyNumberFormat="1">
      <alignment vertical="bottom"/>
    </xf>
    <xf borderId="32" fillId="0" fontId="6" numFmtId="165" xfId="0" applyAlignment="1" applyBorder="1" applyFont="1" applyNumberFormat="1">
      <alignment vertical="bottom"/>
    </xf>
    <xf borderId="15" fillId="0" fontId="9" numFmtId="0" xfId="0" applyAlignment="1" applyBorder="1" applyFont="1">
      <alignment vertical="bottom"/>
    </xf>
    <xf borderId="29" fillId="0" fontId="6" numFmtId="0" xfId="0" applyAlignment="1" applyBorder="1" applyFont="1">
      <alignment vertical="bottom"/>
    </xf>
    <xf borderId="30" fillId="0" fontId="6" numFmtId="0" xfId="0" applyAlignment="1" applyBorder="1" applyFont="1">
      <alignment vertical="bottom"/>
    </xf>
    <xf borderId="30" fillId="0" fontId="6" numFmtId="165" xfId="0" applyAlignment="1" applyBorder="1" applyFont="1" applyNumberFormat="1">
      <alignment vertical="bottom"/>
    </xf>
    <xf borderId="31" fillId="0" fontId="6" numFmtId="165" xfId="0" applyAlignment="1" applyBorder="1" applyFont="1" applyNumberFormat="1">
      <alignment vertical="bottom"/>
    </xf>
    <xf borderId="29" fillId="0" fontId="7" numFmtId="0" xfId="0" applyAlignment="1" applyBorder="1" applyFont="1">
      <alignment vertical="bottom"/>
    </xf>
    <xf borderId="15" fillId="0" fontId="9" numFmtId="164" xfId="0" applyAlignment="1" applyBorder="1" applyFont="1" applyNumberFormat="1">
      <alignment horizontal="right"/>
    </xf>
    <xf borderId="15" fillId="0" fontId="11" numFmtId="164" xfId="0" applyAlignment="1" applyBorder="1" applyFont="1" applyNumberFormat="1">
      <alignment readingOrder="0"/>
    </xf>
    <xf borderId="34" fillId="0" fontId="9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left"/>
    </xf>
    <xf borderId="4" fillId="0" fontId="12" numFmtId="0" xfId="0" applyAlignment="1" applyBorder="1" applyFont="1">
      <alignment vertical="bottom"/>
    </xf>
    <xf borderId="5" fillId="0" fontId="12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29" fillId="0" fontId="3" numFmtId="0" xfId="0" applyAlignment="1" applyBorder="1" applyFont="1">
      <alignment vertical="bottom"/>
    </xf>
    <xf borderId="30" fillId="0" fontId="3" numFmtId="0" xfId="0" applyAlignment="1" applyBorder="1" applyFont="1">
      <alignment horizontal="center" readingOrder="0" vertical="bottom"/>
    </xf>
    <xf borderId="7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5" fillId="2" fontId="1" numFmtId="0" xfId="0" applyAlignment="1" applyBorder="1" applyFont="1">
      <alignment vertical="bottom"/>
    </xf>
    <xf borderId="15" fillId="2" fontId="3" numFmtId="0" xfId="0" applyAlignment="1" applyBorder="1" applyFont="1">
      <alignment vertical="bottom"/>
    </xf>
    <xf borderId="9" fillId="0" fontId="12" numFmtId="0" xfId="0" applyAlignment="1" applyBorder="1" applyFont="1">
      <alignment vertical="bottom"/>
    </xf>
    <xf borderId="32" fillId="2" fontId="1" numFmtId="0" xfId="0" applyAlignment="1" applyBorder="1" applyFont="1">
      <alignment vertical="bottom"/>
    </xf>
    <xf borderId="15" fillId="0" fontId="5" numFmtId="164" xfId="0" applyAlignment="1" applyBorder="1" applyFont="1" applyNumberFormat="1">
      <alignment horizontal="right" vertical="bottom"/>
    </xf>
    <xf borderId="15" fillId="0" fontId="5" numFmtId="164" xfId="0" applyAlignment="1" applyBorder="1" applyFont="1" applyNumberFormat="1">
      <alignment horizontal="right" readingOrder="0" vertical="bottom"/>
    </xf>
    <xf borderId="15" fillId="0" fontId="5" numFmtId="165" xfId="0" applyAlignment="1" applyBorder="1" applyFont="1" applyNumberFormat="1">
      <alignment horizontal="right" vertical="bottom"/>
    </xf>
    <xf borderId="15" fillId="0" fontId="3" numFmtId="165" xfId="0" applyAlignment="1" applyBorder="1" applyFont="1" applyNumberFormat="1">
      <alignment horizontal="right" vertical="bottom"/>
    </xf>
    <xf borderId="15" fillId="0" fontId="1" numFmtId="0" xfId="0" applyAlignment="1" applyBorder="1" applyFont="1">
      <alignment horizontal="right" vertical="bottom"/>
    </xf>
    <xf borderId="15" fillId="0" fontId="1" numFmtId="0" xfId="0" applyAlignment="1" applyBorder="1" applyFont="1">
      <alignment horizontal="center" vertical="bottom"/>
    </xf>
    <xf borderId="32" fillId="0" fontId="1" numFmtId="165" xfId="0" applyAlignment="1" applyBorder="1" applyFont="1" applyNumberFormat="1">
      <alignment horizontal="center" vertical="bottom"/>
    </xf>
    <xf borderId="15" fillId="2" fontId="12" numFmtId="0" xfId="0" applyAlignment="1" applyBorder="1" applyFont="1">
      <alignment vertical="bottom"/>
    </xf>
    <xf borderId="33" fillId="0" fontId="12" numFmtId="0" xfId="0" applyAlignment="1" applyBorder="1" applyFont="1">
      <alignment vertical="bottom"/>
    </xf>
    <xf borderId="15" fillId="0" fontId="1" numFmtId="165" xfId="0" applyAlignment="1" applyBorder="1" applyFont="1" applyNumberFormat="1">
      <alignment horizontal="right" vertical="bottom"/>
    </xf>
    <xf borderId="15" fillId="0" fontId="12" numFmtId="0" xfId="0" applyAlignment="1" applyBorder="1" applyFont="1">
      <alignment vertical="bottom"/>
    </xf>
    <xf borderId="15" fillId="0" fontId="12" numFmtId="164" xfId="0" applyAlignment="1" applyBorder="1" applyFont="1" applyNumberFormat="1">
      <alignment readingOrder="0" vertical="bottom"/>
    </xf>
    <xf borderId="15" fillId="0" fontId="12" numFmtId="164" xfId="0" applyAlignment="1" applyBorder="1" applyFont="1" applyNumberFormat="1">
      <alignment vertical="bottom"/>
    </xf>
    <xf borderId="15" fillId="0" fontId="13" numFmtId="164" xfId="0" applyAlignment="1" applyBorder="1" applyFont="1" applyNumberFormat="1">
      <alignment readingOrder="0" vertical="bottom"/>
    </xf>
    <xf borderId="15" fillId="0" fontId="14" numFmtId="164" xfId="0" applyAlignment="1" applyBorder="1" applyFont="1" applyNumberFormat="1">
      <alignment readingOrder="0" vertical="bottom"/>
    </xf>
    <xf borderId="34" fillId="0" fontId="5" numFmtId="0" xfId="0" applyAlignment="1" applyBorder="1" applyFont="1">
      <alignment horizontal="center" vertical="bottom"/>
    </xf>
    <xf borderId="33" fillId="0" fontId="5" numFmtId="0" xfId="0" applyAlignment="1" applyBorder="1" applyFont="1">
      <alignment horizontal="center" vertical="bottom"/>
    </xf>
    <xf borderId="32" fillId="0" fontId="5" numFmtId="165" xfId="0" applyAlignment="1" applyBorder="1" applyFont="1" applyNumberFormat="1">
      <alignment horizontal="right" vertical="bottom"/>
    </xf>
    <xf borderId="34" fillId="0" fontId="3" numFmtId="0" xfId="0" applyAlignment="1" applyBorder="1" applyFont="1">
      <alignment horizontal="center" vertical="bottom"/>
    </xf>
    <xf borderId="27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12" numFmtId="165" xfId="0" applyAlignment="1" applyFont="1" applyNumberFormat="1">
      <alignment vertical="bottom"/>
    </xf>
    <xf borderId="28" fillId="0" fontId="12" numFmtId="165" xfId="0" applyAlignment="1" applyBorder="1" applyFont="1" applyNumberFormat="1">
      <alignment vertical="bottom"/>
    </xf>
    <xf borderId="33" fillId="0" fontId="12" numFmtId="165" xfId="0" applyAlignment="1" applyBorder="1" applyFont="1" applyNumberFormat="1">
      <alignment vertical="bottom"/>
    </xf>
    <xf borderId="32" fillId="0" fontId="12" numFmtId="165" xfId="0" applyAlignment="1" applyBorder="1" applyFont="1" applyNumberFormat="1">
      <alignment vertical="bottom"/>
    </xf>
    <xf borderId="15" fillId="0" fontId="5" numFmtId="0" xfId="0" applyAlignment="1" applyBorder="1" applyFont="1">
      <alignment vertical="bottom"/>
    </xf>
    <xf borderId="29" fillId="0" fontId="12" numFmtId="0" xfId="0" applyAlignment="1" applyBorder="1" applyFont="1">
      <alignment vertical="bottom"/>
    </xf>
    <xf borderId="30" fillId="0" fontId="12" numFmtId="0" xfId="0" applyAlignment="1" applyBorder="1" applyFont="1">
      <alignment vertical="bottom"/>
    </xf>
    <xf borderId="30" fillId="0" fontId="12" numFmtId="165" xfId="0" applyAlignment="1" applyBorder="1" applyFont="1" applyNumberFormat="1">
      <alignment vertical="bottom"/>
    </xf>
    <xf borderId="31" fillId="0" fontId="12" numFmtId="165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21" fillId="0" fontId="3" numFmtId="0" xfId="0" applyAlignment="1" applyBorder="1" applyFont="1">
      <alignment horizontal="center"/>
    </xf>
    <xf borderId="16" fillId="0" fontId="3" numFmtId="0" xfId="0" applyBorder="1" applyFont="1"/>
    <xf borderId="17" fillId="0" fontId="3" numFmtId="0" xfId="0" applyBorder="1" applyFont="1"/>
    <xf borderId="18" fillId="0" fontId="1" numFmtId="0" xfId="0" applyAlignment="1" applyBorder="1" applyFont="1">
      <alignment horizontal="center" readingOrder="0" vertical="center"/>
    </xf>
    <xf borderId="24" fillId="0" fontId="5" numFmtId="164" xfId="0" applyAlignment="1" applyBorder="1" applyFont="1" applyNumberFormat="1">
      <alignment readingOrder="0" vertical="center"/>
    </xf>
    <xf borderId="35" fillId="0" fontId="1" numFmtId="0" xfId="0" applyAlignment="1" applyBorder="1" applyFont="1">
      <alignment horizontal="center" readingOrder="0" vertical="center"/>
    </xf>
    <xf borderId="19" fillId="0" fontId="1" numFmtId="0" xfId="0" applyAlignment="1" applyBorder="1" applyFont="1">
      <alignment horizontal="left" readingOrder="0" vertical="center"/>
    </xf>
    <xf borderId="20" fillId="0" fontId="4" numFmtId="0" xfId="0" applyBorder="1" applyFont="1"/>
    <xf borderId="2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24" fillId="0" fontId="1" numFmtId="0" xfId="0" applyAlignment="1" applyBorder="1" applyFont="1">
      <alignment horizontal="right" readingOrder="0"/>
    </xf>
    <xf borderId="36" fillId="0" fontId="1" numFmtId="165" xfId="0" applyAlignment="1" applyBorder="1" applyFont="1" applyNumberFormat="1">
      <alignment horizontal="center"/>
    </xf>
    <xf borderId="19" fillId="0" fontId="1" numFmtId="0" xfId="0" applyAlignment="1" applyBorder="1" applyFont="1">
      <alignment horizontal="left" readingOrder="0" vertical="center"/>
    </xf>
    <xf borderId="20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24" fillId="0" fontId="1" numFmtId="0" xfId="0" applyAlignment="1" applyBorder="1" applyFont="1">
      <alignment horizontal="center" readingOrder="0" vertical="center"/>
    </xf>
    <xf borderId="37" fillId="0" fontId="4" numFmtId="0" xfId="0" applyBorder="1" applyFont="1"/>
    <xf borderId="38" fillId="0" fontId="4" numFmtId="0" xfId="0" applyBorder="1" applyFont="1"/>
    <xf borderId="39" fillId="0" fontId="5" numFmtId="165" xfId="0" applyBorder="1" applyFont="1" applyNumberFormat="1"/>
    <xf borderId="40" fillId="0" fontId="1" numFmtId="0" xfId="0" applyBorder="1" applyFont="1"/>
    <xf borderId="39" fillId="0" fontId="5" numFmtId="0" xfId="0" applyAlignment="1" applyBorder="1" applyFont="1">
      <alignment horizontal="center"/>
    </xf>
    <xf borderId="41" fillId="0" fontId="4" numFmtId="0" xfId="0" applyBorder="1" applyFont="1"/>
    <xf borderId="42" fillId="0" fontId="5" numFmtId="165" xfId="0" applyBorder="1" applyFont="1" applyNumberFormat="1"/>
    <xf borderId="0" fillId="0" fontId="6" numFmtId="0" xfId="0" applyAlignment="1" applyFont="1">
      <alignment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horizontal="center"/>
    </xf>
    <xf borderId="0" fillId="0" fontId="16" numFmtId="0" xfId="0" applyFont="1"/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Font="1"/>
    <xf borderId="0" fillId="0" fontId="15" numFmtId="164" xfId="0" applyAlignment="1" applyFont="1" applyNumberFormat="1">
      <alignment horizontal="right" readingOrder="0"/>
    </xf>
    <xf borderId="0" fillId="0" fontId="17" numFmtId="164" xfId="0" applyFont="1" applyNumberFormat="1"/>
    <xf borderId="0" fillId="0" fontId="16" numFmtId="165" xfId="0" applyAlignment="1" applyFont="1" applyNumberFormat="1">
      <alignment vertical="bottom"/>
    </xf>
    <xf borderId="0" fillId="0" fontId="15" numFmtId="165" xfId="0" applyAlignment="1" applyFont="1" applyNumberFormat="1">
      <alignment vertical="bottom"/>
    </xf>
    <xf borderId="0" fillId="0" fontId="16" numFmtId="0" xfId="0" applyAlignment="1" applyFont="1">
      <alignment horizontal="right" vertical="bottom"/>
    </xf>
    <xf borderId="0" fillId="0" fontId="16" numFmtId="0" xfId="0" applyAlignment="1" applyFont="1">
      <alignment horizontal="center" vertical="bottom"/>
    </xf>
    <xf borderId="0" fillId="0" fontId="16" numFmtId="165" xfId="0" applyAlignment="1" applyFont="1" applyNumberFormat="1">
      <alignment horizontal="center" vertical="bottom"/>
    </xf>
    <xf borderId="0" fillId="0" fontId="16" numFmtId="164" xfId="0" applyAlignment="1" applyFont="1" applyNumberFormat="1">
      <alignment horizontal="right" readingOrder="0"/>
    </xf>
    <xf borderId="0" fillId="0" fontId="15" numFmtId="0" xfId="0" applyAlignment="1" applyFont="1">
      <alignment horizontal="center" readingOrder="0" vertical="bottom"/>
    </xf>
    <xf borderId="0" fillId="0" fontId="15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0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3" t="s">
        <v>3</v>
      </c>
      <c r="E3" s="14" t="s">
        <v>4</v>
      </c>
      <c r="F3" s="13" t="s">
        <v>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33.68</v>
      </c>
      <c r="E4" s="21">
        <v>33.0</v>
      </c>
      <c r="F4" s="21">
        <v>31.9</v>
      </c>
      <c r="G4" s="22">
        <f>SUM(D4,E4,F4)</f>
        <v>98.58</v>
      </c>
      <c r="H4" s="23">
        <f>AVERAGE(D4,E4,F4)</f>
        <v>32.86</v>
      </c>
      <c r="I4" s="16"/>
      <c r="J4" s="24">
        <v>3.0</v>
      </c>
      <c r="K4" s="25" t="s">
        <v>11</v>
      </c>
      <c r="L4" s="26">
        <f>H4*J4</f>
        <v>98.58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3" t="s">
        <v>14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5.78</v>
      </c>
      <c r="E6" s="21">
        <v>5.78</v>
      </c>
      <c r="F6" s="21"/>
      <c r="G6" s="22">
        <f>SUM(D6,E6,F6)</f>
        <v>11.56</v>
      </c>
      <c r="H6" s="23">
        <f>AVERAGE(D6,E6,F6)</f>
        <v>5.78</v>
      </c>
      <c r="I6" s="16"/>
      <c r="J6" s="24">
        <v>4.0</v>
      </c>
      <c r="K6" s="25"/>
      <c r="L6" s="26">
        <f>H6*J6</f>
        <v>23.12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4" t="s">
        <v>17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16.9</v>
      </c>
      <c r="E8" s="21">
        <v>17.99</v>
      </c>
      <c r="F8" s="21"/>
      <c r="G8" s="22">
        <f>SUM(D8,E8,F8)</f>
        <v>34.89</v>
      </c>
      <c r="H8" s="23">
        <f>AVERAGE(D8,E8,F8)</f>
        <v>17.445</v>
      </c>
      <c r="I8" s="16"/>
      <c r="J8" s="24">
        <v>2.0</v>
      </c>
      <c r="K8" s="25"/>
      <c r="L8" s="26">
        <f>H8*J8</f>
        <v>34.89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0" t="s">
        <v>21</v>
      </c>
      <c r="F9" s="13" t="s">
        <v>22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27.8</v>
      </c>
      <c r="E10" s="21">
        <v>25.6</v>
      </c>
      <c r="F10" s="21"/>
      <c r="G10" s="22">
        <f>SUM(D10,E10,F10)</f>
        <v>53.4</v>
      </c>
      <c r="H10" s="23">
        <f>AVERAGE(D10,E10,F10)</f>
        <v>26.7</v>
      </c>
      <c r="I10" s="16"/>
      <c r="J10" s="24">
        <v>3.0</v>
      </c>
      <c r="K10" s="25"/>
      <c r="L10" s="26">
        <f>H10*J10</f>
        <v>80.1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0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6.99</v>
      </c>
      <c r="E12" s="21">
        <v>7.0</v>
      </c>
      <c r="F12" s="21"/>
      <c r="G12" s="22">
        <f>SUM(D12,E12,F12)</f>
        <v>13.99</v>
      </c>
      <c r="H12" s="23">
        <f>AVERAGE(D12,E12,F12)</f>
        <v>6.995</v>
      </c>
      <c r="I12" s="16"/>
      <c r="J12" s="24">
        <v>3.0</v>
      </c>
      <c r="K12" s="25"/>
      <c r="L12" s="26">
        <f>H12*J12</f>
        <v>20.985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0" t="s">
        <v>28</v>
      </c>
      <c r="E13" s="34" t="s">
        <v>29</v>
      </c>
      <c r="F13" s="14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21"/>
      <c r="F14" s="21">
        <v>8.0</v>
      </c>
      <c r="G14" s="22">
        <f>SUM(D14,E14,F14)</f>
        <v>8</v>
      </c>
      <c r="H14" s="23">
        <f>AVERAGE(D14,E14,F14)</f>
        <v>8</v>
      </c>
      <c r="I14" s="16"/>
      <c r="J14" s="24">
        <v>1.0</v>
      </c>
      <c r="K14" s="25"/>
      <c r="L14" s="26">
        <f>H14*J14</f>
        <v>8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0" t="s">
        <v>33</v>
      </c>
      <c r="F15" s="14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5.99</v>
      </c>
      <c r="E16" s="35"/>
      <c r="F16" s="35"/>
      <c r="G16" s="22">
        <f>SUM(D16,E16,F16)</f>
        <v>5.99</v>
      </c>
      <c r="H16" s="23">
        <f>AVERAGE(D16,E16,F16)</f>
        <v>5.99</v>
      </c>
      <c r="I16" s="16"/>
      <c r="J16" s="24">
        <v>4.0</v>
      </c>
      <c r="K16" s="25"/>
      <c r="L16" s="26">
        <f>H16*J16</f>
        <v>23.96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5.89</v>
      </c>
      <c r="E18" s="35"/>
      <c r="F18" s="35"/>
      <c r="G18" s="22">
        <f>SUM(D18,E18,F18)</f>
        <v>5.89</v>
      </c>
      <c r="H18" s="23">
        <f>AVERAGE(D18,E18,F18)</f>
        <v>5.89</v>
      </c>
      <c r="I18" s="16"/>
      <c r="J18" s="24">
        <v>1.0</v>
      </c>
      <c r="K18" s="25"/>
      <c r="L18" s="26">
        <f>H18*J18</f>
        <v>5.89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7.99</v>
      </c>
      <c r="E20" s="35"/>
      <c r="F20" s="35"/>
      <c r="G20" s="22">
        <f>SUM(D20,E20,F20)</f>
        <v>7.99</v>
      </c>
      <c r="H20" s="23">
        <f>AVERAGE(D20,E20,F20)</f>
        <v>7.99</v>
      </c>
      <c r="I20" s="16"/>
      <c r="J20" s="24">
        <v>9.0</v>
      </c>
      <c r="K20" s="25"/>
      <c r="L20" s="26">
        <f>H20*J20</f>
        <v>71.91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0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26.8</v>
      </c>
      <c r="E22" s="35"/>
      <c r="F22" s="35"/>
      <c r="G22" s="22">
        <f>SUM(D22,E22,F22)</f>
        <v>26.8</v>
      </c>
      <c r="H22" s="23">
        <f>AVERAGE(D22,E22,F22)</f>
        <v>26.8</v>
      </c>
      <c r="I22" s="16"/>
      <c r="J22" s="24">
        <v>0.2</v>
      </c>
      <c r="K22" s="25"/>
      <c r="L22" s="26">
        <f>H22*J22</f>
        <v>5.36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9.89</v>
      </c>
      <c r="E24" s="21"/>
      <c r="F24" s="35"/>
      <c r="G24" s="22">
        <f>SUM(D24,E24,F24)</f>
        <v>9.89</v>
      </c>
      <c r="H24" s="23">
        <f>AVERAGE(D24,E24,F24)</f>
        <v>9.89</v>
      </c>
      <c r="I24" s="4"/>
      <c r="J24" s="24">
        <v>3.0</v>
      </c>
      <c r="K24" s="25"/>
      <c r="L24" s="26">
        <f>H24*J24</f>
        <v>29.67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0" t="s">
        <v>44</v>
      </c>
      <c r="E25" s="34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>
        <v>4.89</v>
      </c>
      <c r="E26" s="21">
        <v>5.1</v>
      </c>
      <c r="F26" s="21"/>
      <c r="G26" s="22">
        <f>SUM(D26,E26,F26)</f>
        <v>9.99</v>
      </c>
      <c r="H26" s="23">
        <f>AVERAGE(D26,E26,F26)</f>
        <v>4.995</v>
      </c>
      <c r="I26" s="4"/>
      <c r="J26" s="24">
        <v>4.0</v>
      </c>
      <c r="K26" s="25"/>
      <c r="L26" s="26">
        <f>H26*J26</f>
        <v>19.98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28" t="s">
        <v>47</v>
      </c>
      <c r="C27" s="29"/>
      <c r="D27" s="30" t="s">
        <v>48</v>
      </c>
      <c r="E27" s="34" t="s">
        <v>49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/>
      <c r="E28" s="21">
        <v>2.98</v>
      </c>
      <c r="F28" s="21">
        <v>2.89</v>
      </c>
      <c r="G28" s="22">
        <f>SUM(D28,E28,F28)</f>
        <v>5.87</v>
      </c>
      <c r="H28" s="23">
        <f>AVERAGE(D28,E28,F28)</f>
        <v>2.935</v>
      </c>
      <c r="I28" s="4"/>
      <c r="J28" s="24">
        <v>2.0</v>
      </c>
      <c r="K28" s="25"/>
      <c r="L28" s="26">
        <f>H28*J28</f>
        <v>5.87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13.99</v>
      </c>
      <c r="E30" s="35"/>
      <c r="F30" s="35"/>
      <c r="G30" s="22">
        <f>SUM(D30,E30,F30)</f>
        <v>13.99</v>
      </c>
      <c r="H30" s="23">
        <f>AVERAGE(D30,E30,F30)</f>
        <v>13.99</v>
      </c>
      <c r="I30" s="4"/>
      <c r="J30" s="24">
        <v>6.0</v>
      </c>
      <c r="K30" s="25"/>
      <c r="L30" s="26">
        <f>H30*J30</f>
        <v>83.94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4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3.89</v>
      </c>
      <c r="E32" s="21"/>
      <c r="F32" s="35"/>
      <c r="G32" s="22">
        <f>SUM(D32,E32,F32)</f>
        <v>3.89</v>
      </c>
      <c r="H32" s="23">
        <f>AVERAGE(D32,E32,F32)</f>
        <v>3.89</v>
      </c>
      <c r="I32" s="4"/>
      <c r="J32" s="24">
        <v>7.5</v>
      </c>
      <c r="K32" s="25"/>
      <c r="L32" s="26">
        <f>H32*J32</f>
        <v>29.175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4" t="s">
        <v>57</v>
      </c>
      <c r="E33" s="34" t="s">
        <v>58</v>
      </c>
      <c r="F33" s="14" t="s">
        <v>59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7.99</v>
      </c>
      <c r="E34" s="21"/>
      <c r="F34" s="35"/>
      <c r="G34" s="22">
        <f>SUM(D34,E34,F34)</f>
        <v>7.99</v>
      </c>
      <c r="H34" s="23">
        <f>AVERAGE(D34,E34,F34)</f>
        <v>7.99</v>
      </c>
      <c r="I34" s="4"/>
      <c r="J34" s="24">
        <v>5.0</v>
      </c>
      <c r="K34" s="25"/>
      <c r="L34" s="26">
        <f>H34*J34</f>
        <v>39.95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4" t="s">
        <v>63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6.19</v>
      </c>
      <c r="E36" s="21">
        <v>5.1</v>
      </c>
      <c r="F36" s="21"/>
      <c r="G36" s="22">
        <f>SUM(D36,E36,F36)</f>
        <v>11.29</v>
      </c>
      <c r="H36" s="23">
        <f>AVERAGE(D36,E36,F36)</f>
        <v>5.645</v>
      </c>
      <c r="I36" s="4"/>
      <c r="J36" s="24">
        <v>7.5</v>
      </c>
      <c r="K36" s="25"/>
      <c r="L36" s="26">
        <f>H36*J36</f>
        <v>42.3375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28" t="s">
        <v>64</v>
      </c>
      <c r="C37" s="29"/>
      <c r="D37" s="30" t="s">
        <v>61</v>
      </c>
      <c r="E37" s="34" t="s">
        <v>65</v>
      </c>
      <c r="F37" s="14" t="s">
        <v>63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19.15</v>
      </c>
      <c r="E38" s="21">
        <v>18.9</v>
      </c>
      <c r="F38" s="21"/>
      <c r="G38" s="22">
        <f>SUM(D38,E38,F38)</f>
        <v>38.05</v>
      </c>
      <c r="H38" s="23">
        <f>AVERAGE(D38,E38,F38)</f>
        <v>19.025</v>
      </c>
      <c r="I38" s="4"/>
      <c r="J38" s="24">
        <v>3.0</v>
      </c>
      <c r="K38" s="25"/>
      <c r="L38" s="26">
        <f>H38*J38</f>
        <v>57.075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0" t="s">
        <v>48</v>
      </c>
      <c r="E39" s="34" t="s">
        <v>67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5.5</v>
      </c>
      <c r="E40" s="21">
        <v>5.89</v>
      </c>
      <c r="F40" s="21"/>
      <c r="G40" s="22">
        <f>SUM(D40,E40,F40)</f>
        <v>11.39</v>
      </c>
      <c r="H40" s="23">
        <f>AVERAGE(D40,E40,F40)</f>
        <v>5.695</v>
      </c>
      <c r="I40" s="4"/>
      <c r="J40" s="24">
        <v>4.0</v>
      </c>
      <c r="K40" s="25"/>
      <c r="L40" s="26">
        <f>H40*J40</f>
        <v>22.78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69</v>
      </c>
      <c r="E41" s="30" t="s">
        <v>70</v>
      </c>
      <c r="F41" s="14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>
        <v>2.99</v>
      </c>
      <c r="F42" s="21">
        <v>3.15</v>
      </c>
      <c r="G42" s="22">
        <f>SUM(D42,E42,F42)</f>
        <v>6.14</v>
      </c>
      <c r="H42" s="23">
        <f>AVERAGE(D42,E42,F42)</f>
        <v>3.07</v>
      </c>
      <c r="I42" s="4"/>
      <c r="J42" s="24">
        <v>4.0</v>
      </c>
      <c r="K42" s="25"/>
      <c r="L42" s="26">
        <f>H42*J42</f>
        <v>12.28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0" t="s">
        <v>73</v>
      </c>
      <c r="E43" s="30" t="s">
        <v>74</v>
      </c>
      <c r="F43" s="13" t="s">
        <v>75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41.99</v>
      </c>
      <c r="E44" s="21"/>
      <c r="F44" s="21"/>
      <c r="G44" s="22">
        <f>SUM(D44,E44,F44)</f>
        <v>41.99</v>
      </c>
      <c r="H44" s="23">
        <f>AVERAGE(D44,E44,F44)</f>
        <v>41.99</v>
      </c>
      <c r="I44" s="4"/>
      <c r="J44" s="24">
        <v>3.0</v>
      </c>
      <c r="K44" s="25"/>
      <c r="L44" s="26">
        <f>H44*J44</f>
        <v>125.97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0" t="s">
        <v>77</v>
      </c>
      <c r="E45" s="30" t="s">
        <v>78</v>
      </c>
      <c r="F45" s="13" t="s">
        <v>79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36.0</v>
      </c>
      <c r="E46" s="21">
        <v>25.9</v>
      </c>
      <c r="F46" s="21"/>
      <c r="G46" s="22">
        <f>SUM(D46,E46,F46)</f>
        <v>61.9</v>
      </c>
      <c r="H46" s="23">
        <f>AVERAGE(D46,E46,F46)</f>
        <v>30.95</v>
      </c>
      <c r="I46" s="4"/>
      <c r="J46" s="24">
        <v>4.0</v>
      </c>
      <c r="K46" s="25"/>
      <c r="L46" s="26">
        <f>H46*J46</f>
        <v>123.8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4" t="s">
        <v>81</v>
      </c>
      <c r="E47" s="30" t="s">
        <v>82</v>
      </c>
      <c r="F47" s="14" t="s">
        <v>33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10.99</v>
      </c>
      <c r="E48" s="21">
        <v>12.48</v>
      </c>
      <c r="F48" s="21"/>
      <c r="G48" s="22">
        <f>SUM(D48,E48,F48)</f>
        <v>23.47</v>
      </c>
      <c r="H48" s="23">
        <f>AVERAGE(D48,E48,F48)</f>
        <v>11.735</v>
      </c>
      <c r="I48" s="4"/>
      <c r="J48" s="24">
        <v>5.0</v>
      </c>
      <c r="K48" s="25"/>
      <c r="L48" s="26">
        <f>H48*J48</f>
        <v>58.675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0" t="s">
        <v>84</v>
      </c>
      <c r="E49" s="30" t="s">
        <v>82</v>
      </c>
      <c r="F49" s="14" t="s">
        <v>85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11.0</v>
      </c>
      <c r="E50" s="21">
        <v>10.3</v>
      </c>
      <c r="F50" s="21"/>
      <c r="G50" s="22">
        <f>SUM(D50,E50,F50)</f>
        <v>21.3</v>
      </c>
      <c r="H50" s="23">
        <f>AVERAGE(D50,E50,F50)</f>
        <v>10.65</v>
      </c>
      <c r="I50" s="4"/>
      <c r="J50" s="24">
        <v>0.5</v>
      </c>
      <c r="K50" s="25"/>
      <c r="L50" s="26">
        <f>H50*J50</f>
        <v>5.325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0" t="s">
        <v>84</v>
      </c>
      <c r="E51" s="30" t="s">
        <v>82</v>
      </c>
      <c r="F51" s="13" t="s">
        <v>87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13.99</v>
      </c>
      <c r="E52" s="21">
        <v>16.9</v>
      </c>
      <c r="F52" s="21"/>
      <c r="G52" s="22">
        <f>SUM(D52,E52,F52)</f>
        <v>30.89</v>
      </c>
      <c r="H52" s="23">
        <f>AVERAGE(D52,E52,F52)</f>
        <v>15.445</v>
      </c>
      <c r="I52" s="4"/>
      <c r="J52" s="24">
        <v>0.3</v>
      </c>
      <c r="K52" s="25"/>
      <c r="L52" s="26">
        <f>H52*J52</f>
        <v>4.6335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0" t="s">
        <v>89</v>
      </c>
      <c r="E53" s="30" t="s">
        <v>90</v>
      </c>
      <c r="F53" s="13" t="s">
        <v>91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50.0</v>
      </c>
      <c r="E54" s="21">
        <v>51.8</v>
      </c>
      <c r="F54" s="21"/>
      <c r="G54" s="22">
        <f>SUM(D54,E54,F54)</f>
        <v>101.8</v>
      </c>
      <c r="H54" s="23">
        <f>AVERAGE(D54,E54,F54)</f>
        <v>50.9</v>
      </c>
      <c r="I54" s="4"/>
      <c r="J54" s="37">
        <v>0.5</v>
      </c>
      <c r="K54" s="38"/>
      <c r="L54" s="26">
        <f>H54*J54</f>
        <v>25.45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9" t="s">
        <v>92</v>
      </c>
      <c r="B55" s="32"/>
      <c r="C55" s="32"/>
      <c r="D55" s="32"/>
      <c r="E55" s="32"/>
      <c r="F55" s="32"/>
      <c r="G55" s="40"/>
      <c r="H55" s="41">
        <f>SUM(H4:H54)</f>
        <v>383.245</v>
      </c>
      <c r="I55" s="42"/>
      <c r="J55" s="43" t="s">
        <v>6</v>
      </c>
      <c r="K55" s="40"/>
      <c r="L55" s="44">
        <f>SUM(L4:L54)</f>
        <v>1059.706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93</v>
      </c>
      <c r="C57" s="29"/>
      <c r="D57" s="30" t="s">
        <v>94</v>
      </c>
      <c r="E57" s="30" t="s">
        <v>95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8.9</v>
      </c>
      <c r="E58" s="21">
        <v>8.98</v>
      </c>
      <c r="F58" s="21"/>
      <c r="G58" s="22">
        <f>SUM(D58,E58,F58)</f>
        <v>17.88</v>
      </c>
      <c r="H58" s="23">
        <f>AVERAGE(D58,E58,F58)</f>
        <v>8.94</v>
      </c>
      <c r="I58" s="4"/>
      <c r="J58" s="24">
        <v>4.0</v>
      </c>
      <c r="K58" s="25"/>
      <c r="L58" s="26">
        <f>H58*J58</f>
        <v>35.76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4" t="s">
        <v>98</v>
      </c>
      <c r="E59" s="34" t="s">
        <v>99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3.59</v>
      </c>
      <c r="E60" s="21"/>
      <c r="F60" s="35"/>
      <c r="G60" s="22">
        <f>SUM(D60,E60,F60)</f>
        <v>3.59</v>
      </c>
      <c r="H60" s="23">
        <f>AVERAGE(D60,E60,F60)</f>
        <v>3.59</v>
      </c>
      <c r="I60" s="4"/>
      <c r="J60" s="24">
        <v>15.0</v>
      </c>
      <c r="K60" s="25"/>
      <c r="L60" s="26">
        <f>H60*J60</f>
        <v>53.85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101</v>
      </c>
      <c r="F61" s="13" t="s">
        <v>102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3.89</v>
      </c>
      <c r="E62" s="21">
        <v>4.1</v>
      </c>
      <c r="F62" s="21"/>
      <c r="G62" s="22">
        <f>SUM(D62,E62,F62)</f>
        <v>7.99</v>
      </c>
      <c r="H62" s="23">
        <f>AVERAGE(D62,E62,F62)</f>
        <v>3.995</v>
      </c>
      <c r="I62" s="4"/>
      <c r="J62" s="24">
        <v>2.0</v>
      </c>
      <c r="K62" s="25"/>
      <c r="L62" s="26">
        <f>H62*J62</f>
        <v>7.99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0" t="s">
        <v>104</v>
      </c>
      <c r="F63" s="14" t="s">
        <v>105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2.99</v>
      </c>
      <c r="E64" s="21">
        <v>2.89</v>
      </c>
      <c r="F64" s="21"/>
      <c r="G64" s="22">
        <f>SUM(D64,E64,F64)</f>
        <v>5.88</v>
      </c>
      <c r="H64" s="23">
        <f>AVERAGE(D64,E64,F64)</f>
        <v>2.94</v>
      </c>
      <c r="I64" s="4"/>
      <c r="J64" s="24">
        <v>2.0</v>
      </c>
      <c r="K64" s="25"/>
      <c r="L64" s="26">
        <f>H64*J64</f>
        <v>5.88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>
        <f>SUM(H57:H64)</f>
        <v>19.465</v>
      </c>
      <c r="I65" s="42"/>
      <c r="J65" s="43" t="s">
        <v>6</v>
      </c>
      <c r="K65" s="40"/>
      <c r="L65" s="44">
        <f>SUM(L57:L64)</f>
        <v>103.48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0" t="s">
        <v>109</v>
      </c>
      <c r="E67" s="34" t="s">
        <v>110</v>
      </c>
      <c r="F67" s="13" t="s">
        <v>111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/>
      <c r="E68" s="21">
        <v>5.38</v>
      </c>
      <c r="F68" s="21"/>
      <c r="G68" s="22">
        <f>SUM(D68,E68,F68)</f>
        <v>5.38</v>
      </c>
      <c r="H68" s="23">
        <f>AVERAGE(D68,E68,F68)</f>
        <v>5.38</v>
      </c>
      <c r="I68" s="4"/>
      <c r="J68" s="24">
        <v>3.0</v>
      </c>
      <c r="K68" s="25"/>
      <c r="L68" s="26">
        <f>H68*J68</f>
        <v>16.14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0" t="s">
        <v>113</v>
      </c>
      <c r="E69" s="30" t="s">
        <v>114</v>
      </c>
      <c r="F69" s="14" t="s">
        <v>33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6.9</v>
      </c>
      <c r="E70" s="21"/>
      <c r="F70" s="35"/>
      <c r="G70" s="22">
        <f>SUM(D70,E70,F70)</f>
        <v>6.9</v>
      </c>
      <c r="H70" s="23">
        <f>AVERAGE(D70,E70,F70)</f>
        <v>6.9</v>
      </c>
      <c r="I70" s="4"/>
      <c r="J70" s="24">
        <v>2.0</v>
      </c>
      <c r="K70" s="25"/>
      <c r="L70" s="26">
        <f>H70*J70</f>
        <v>13.8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115</v>
      </c>
      <c r="C71" s="29"/>
      <c r="D71" s="30" t="s">
        <v>116</v>
      </c>
      <c r="E71" s="30" t="s">
        <v>117</v>
      </c>
      <c r="F71" s="13" t="s">
        <v>118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3.7</v>
      </c>
      <c r="E72" s="21"/>
      <c r="F72" s="21"/>
      <c r="G72" s="22">
        <f>SUM(D72,E72,F72)</f>
        <v>3.7</v>
      </c>
      <c r="H72" s="23">
        <f>AVERAGE(D72,E72,F72)</f>
        <v>3.7</v>
      </c>
      <c r="I72" s="4"/>
      <c r="J72" s="24">
        <v>10.0</v>
      </c>
      <c r="K72" s="25"/>
      <c r="L72" s="26">
        <f>H72*J72</f>
        <v>37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121</v>
      </c>
      <c r="F73" s="14" t="s">
        <v>33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16.89</v>
      </c>
      <c r="E74" s="21"/>
      <c r="F74" s="35"/>
      <c r="G74" s="22">
        <f>SUM(D74,E74,F74)</f>
        <v>16.89</v>
      </c>
      <c r="H74" s="23">
        <f>AVERAGE(D74,E74,F74)</f>
        <v>16.89</v>
      </c>
      <c r="I74" s="4"/>
      <c r="J74" s="24">
        <v>2.0</v>
      </c>
      <c r="K74" s="25"/>
      <c r="L74" s="26">
        <f>H74*J74</f>
        <v>33.78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0" t="s">
        <v>124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3.89</v>
      </c>
      <c r="E76" s="21">
        <v>3.89</v>
      </c>
      <c r="F76" s="35"/>
      <c r="G76" s="22">
        <f>SUM(D76,E76,F76)</f>
        <v>7.78</v>
      </c>
      <c r="H76" s="23">
        <f>AVERAGE(D76,E76,F76)</f>
        <v>3.89</v>
      </c>
      <c r="I76" s="4"/>
      <c r="J76" s="24">
        <v>1.0</v>
      </c>
      <c r="K76" s="25"/>
      <c r="L76" s="26">
        <f>H76*J76</f>
        <v>3.89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36.76</v>
      </c>
      <c r="I77" s="42"/>
      <c r="J77" s="43" t="s">
        <v>6</v>
      </c>
      <c r="K77" s="40"/>
      <c r="L77" s="49">
        <f>SUM(L68:L76)</f>
        <v>104.61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439.47</v>
      </c>
      <c r="I80" s="4"/>
      <c r="J80" s="4"/>
      <c r="K80" s="54" t="s">
        <v>6</v>
      </c>
      <c r="L80" s="49">
        <f>L55+L65+L77</f>
        <v>1267.796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  <c r="P1" s="63"/>
      <c r="Q1" s="63"/>
      <c r="R1" s="63"/>
      <c r="S1" s="63"/>
      <c r="T1" s="63"/>
    </row>
    <row r="2">
      <c r="A2" s="64" t="s">
        <v>125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  <c r="P2" s="63"/>
      <c r="Q2" s="63"/>
      <c r="R2" s="63"/>
      <c r="S2" s="63"/>
      <c r="T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126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  <c r="P3" s="63"/>
      <c r="Q3" s="63"/>
      <c r="R3" s="63"/>
      <c r="S3" s="63"/>
      <c r="T3" s="63"/>
    </row>
    <row r="4">
      <c r="A4" s="18"/>
      <c r="B4" s="74"/>
      <c r="C4" s="20"/>
      <c r="D4" s="75">
        <v>28.0</v>
      </c>
      <c r="E4" s="75">
        <v>27.9</v>
      </c>
      <c r="F4" s="75"/>
      <c r="G4" s="76">
        <f>SUM(D4,E4,F4)</f>
        <v>55.9</v>
      </c>
      <c r="H4" s="77">
        <f>AVERAGE(D4,E4,F4)</f>
        <v>27.95</v>
      </c>
      <c r="I4" s="72"/>
      <c r="J4" s="78">
        <v>3.0</v>
      </c>
      <c r="K4" s="79" t="s">
        <v>11</v>
      </c>
      <c r="L4" s="80">
        <f>H4*J4</f>
        <v>83.85</v>
      </c>
      <c r="M4" s="63"/>
      <c r="N4" s="63"/>
      <c r="O4" s="63"/>
      <c r="P4" s="63"/>
      <c r="Q4" s="63"/>
      <c r="R4" s="63"/>
      <c r="S4" s="63"/>
      <c r="T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127</v>
      </c>
      <c r="G5" s="71"/>
      <c r="H5" s="71"/>
      <c r="I5" s="72"/>
      <c r="J5" s="81"/>
      <c r="K5" s="74"/>
      <c r="L5" s="82"/>
      <c r="M5" s="63"/>
      <c r="N5" s="63"/>
      <c r="O5" s="63"/>
      <c r="P5" s="63"/>
      <c r="Q5" s="63"/>
      <c r="R5" s="63"/>
      <c r="S5" s="63"/>
      <c r="T5" s="63"/>
    </row>
    <row r="6">
      <c r="A6" s="18"/>
      <c r="B6" s="74"/>
      <c r="C6" s="20"/>
      <c r="D6" s="75">
        <v>6.99</v>
      </c>
      <c r="E6" s="75">
        <v>6.8</v>
      </c>
      <c r="F6" s="75"/>
      <c r="G6" s="76">
        <f>SUM(D6,E6,F6)</f>
        <v>13.79</v>
      </c>
      <c r="H6" s="77">
        <f>AVERAGE(D6,E6,F6)</f>
        <v>6.895</v>
      </c>
      <c r="I6" s="72"/>
      <c r="J6" s="78">
        <v>4.0</v>
      </c>
      <c r="K6" s="79"/>
      <c r="L6" s="80">
        <f>H6*J6</f>
        <v>27.58</v>
      </c>
      <c r="M6" s="63"/>
      <c r="N6" s="63"/>
      <c r="O6" s="63"/>
      <c r="P6" s="63"/>
      <c r="Q6" s="63"/>
      <c r="R6" s="63"/>
      <c r="S6" s="63"/>
      <c r="T6" s="63"/>
    </row>
    <row r="7">
      <c r="A7" s="68">
        <f>A5+1</f>
        <v>3</v>
      </c>
      <c r="B7" s="69" t="s">
        <v>15</v>
      </c>
      <c r="C7" s="12"/>
      <c r="D7" s="83" t="s">
        <v>128</v>
      </c>
      <c r="E7" s="70" t="s">
        <v>129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  <c r="P7" s="63"/>
      <c r="Q7" s="63"/>
      <c r="R7" s="63"/>
      <c r="S7" s="63"/>
      <c r="T7" s="63"/>
    </row>
    <row r="8">
      <c r="A8" s="18"/>
      <c r="B8" s="74"/>
      <c r="C8" s="20"/>
      <c r="D8" s="75">
        <v>17.9</v>
      </c>
      <c r="E8" s="75">
        <v>15.6</v>
      </c>
      <c r="F8" s="75"/>
      <c r="G8" s="76">
        <f>SUM(D8,E8,F8)</f>
        <v>33.5</v>
      </c>
      <c r="H8" s="77">
        <f>AVERAGE(D8,E8,F8)</f>
        <v>16.75</v>
      </c>
      <c r="I8" s="72"/>
      <c r="J8" s="78">
        <v>2.0</v>
      </c>
      <c r="K8" s="79"/>
      <c r="L8" s="80">
        <f>H8*J8</f>
        <v>33.5</v>
      </c>
      <c r="M8" s="63"/>
      <c r="N8" s="63"/>
      <c r="O8" s="63"/>
      <c r="P8" s="63"/>
      <c r="Q8" s="63"/>
      <c r="R8" s="63"/>
      <c r="S8" s="63"/>
      <c r="T8" s="63"/>
    </row>
    <row r="9">
      <c r="A9" s="68">
        <f>A7+1</f>
        <v>4</v>
      </c>
      <c r="B9" s="69" t="s">
        <v>19</v>
      </c>
      <c r="C9" s="12"/>
      <c r="D9" s="70" t="s">
        <v>20</v>
      </c>
      <c r="E9" s="70" t="s">
        <v>21</v>
      </c>
      <c r="F9" s="70" t="s">
        <v>130</v>
      </c>
      <c r="G9" s="71"/>
      <c r="H9" s="71"/>
      <c r="I9" s="72"/>
      <c r="J9" s="81"/>
      <c r="K9" s="74"/>
      <c r="L9" s="82"/>
      <c r="M9" s="63"/>
      <c r="N9" s="63"/>
      <c r="O9" s="63"/>
      <c r="P9" s="63"/>
      <c r="Q9" s="63"/>
      <c r="R9" s="63"/>
      <c r="S9" s="63"/>
      <c r="T9" s="63"/>
    </row>
    <row r="10">
      <c r="A10" s="18"/>
      <c r="B10" s="74"/>
      <c r="C10" s="20"/>
      <c r="D10" s="75">
        <v>22.0</v>
      </c>
      <c r="E10" s="75"/>
      <c r="F10" s="75"/>
      <c r="G10" s="76">
        <f>SUM(D10,E10,F10)</f>
        <v>22</v>
      </c>
      <c r="H10" s="77">
        <f>AVERAGE(D10,E10,F10)</f>
        <v>22</v>
      </c>
      <c r="I10" s="72"/>
      <c r="J10" s="78">
        <v>3.0</v>
      </c>
      <c r="K10" s="79"/>
      <c r="L10" s="80">
        <f>H10*J10</f>
        <v>66</v>
      </c>
      <c r="M10" s="63"/>
      <c r="N10" s="63"/>
      <c r="O10" s="63"/>
      <c r="P10" s="63"/>
      <c r="Q10" s="63"/>
      <c r="R10" s="63"/>
      <c r="S10" s="63"/>
      <c r="T10" s="63"/>
    </row>
    <row r="11">
      <c r="A11" s="68">
        <f>A9+1</f>
        <v>5</v>
      </c>
      <c r="B11" s="69" t="s">
        <v>23</v>
      </c>
      <c r="C11" s="12"/>
      <c r="D11" s="83" t="s">
        <v>131</v>
      </c>
      <c r="E11" s="70" t="s">
        <v>25</v>
      </c>
      <c r="F11" s="70" t="s">
        <v>26</v>
      </c>
      <c r="G11" s="71"/>
      <c r="H11" s="71"/>
      <c r="I11" s="72"/>
      <c r="J11" s="81"/>
      <c r="K11" s="74"/>
      <c r="L11" s="82"/>
      <c r="M11" s="63"/>
      <c r="N11" s="63"/>
      <c r="O11" s="63"/>
      <c r="P11" s="63"/>
      <c r="Q11" s="63"/>
      <c r="R11" s="63"/>
      <c r="S11" s="63"/>
      <c r="T11" s="63"/>
    </row>
    <row r="12">
      <c r="A12" s="18"/>
      <c r="B12" s="74"/>
      <c r="C12" s="20"/>
      <c r="D12" s="75">
        <v>4.48</v>
      </c>
      <c r="E12" s="75">
        <v>4.99</v>
      </c>
      <c r="F12" s="75"/>
      <c r="G12" s="76">
        <f>SUM(D12,E12,F12)</f>
        <v>9.47</v>
      </c>
      <c r="H12" s="77">
        <f>AVERAGE(D12,E12,F12)</f>
        <v>4.735</v>
      </c>
      <c r="I12" s="72"/>
      <c r="J12" s="78">
        <v>3.0</v>
      </c>
      <c r="K12" s="79"/>
      <c r="L12" s="80">
        <f>H12*J12</f>
        <v>14.205</v>
      </c>
      <c r="M12" s="63"/>
      <c r="N12" s="63"/>
      <c r="O12" s="63"/>
      <c r="P12" s="63"/>
      <c r="Q12" s="63"/>
      <c r="R12" s="63"/>
      <c r="S12" s="63"/>
      <c r="T12" s="63"/>
    </row>
    <row r="13">
      <c r="A13" s="68">
        <f>A11+1</f>
        <v>6</v>
      </c>
      <c r="B13" s="69" t="s">
        <v>27</v>
      </c>
      <c r="C13" s="12"/>
      <c r="D13" s="83" t="s">
        <v>132</v>
      </c>
      <c r="E13" s="70" t="s">
        <v>133</v>
      </c>
      <c r="F13" s="70" t="s">
        <v>30</v>
      </c>
      <c r="G13" s="71"/>
      <c r="H13" s="71"/>
      <c r="I13" s="72"/>
      <c r="J13" s="81"/>
      <c r="K13" s="74"/>
      <c r="L13" s="82"/>
      <c r="M13" s="63"/>
      <c r="N13" s="63"/>
      <c r="O13" s="63"/>
      <c r="P13" s="63"/>
      <c r="Q13" s="63"/>
      <c r="R13" s="63"/>
      <c r="S13" s="63"/>
      <c r="T13" s="63"/>
    </row>
    <row r="14">
      <c r="A14" s="18"/>
      <c r="B14" s="74"/>
      <c r="C14" s="20"/>
      <c r="D14" s="75">
        <v>2.99</v>
      </c>
      <c r="E14" s="75">
        <v>3.2</v>
      </c>
      <c r="F14" s="75"/>
      <c r="G14" s="76">
        <f>SUM(D14,E14,F14)</f>
        <v>6.19</v>
      </c>
      <c r="H14" s="77">
        <f>AVERAGE(D14,E14,F14)</f>
        <v>3.095</v>
      </c>
      <c r="I14" s="72"/>
      <c r="J14" s="78">
        <v>1.0</v>
      </c>
      <c r="K14" s="79"/>
      <c r="L14" s="80">
        <f>H14*J14</f>
        <v>3.095</v>
      </c>
      <c r="M14" s="63"/>
      <c r="N14" s="63"/>
      <c r="O14" s="63"/>
      <c r="P14" s="63"/>
      <c r="Q14" s="63"/>
      <c r="R14" s="63"/>
      <c r="S14" s="63"/>
      <c r="T14" s="63"/>
    </row>
    <row r="15">
      <c r="A15" s="68">
        <f>A13+1</f>
        <v>7</v>
      </c>
      <c r="B15" s="69" t="s">
        <v>31</v>
      </c>
      <c r="C15" s="12"/>
      <c r="D15" s="70" t="s">
        <v>32</v>
      </c>
      <c r="E15" s="70" t="s">
        <v>33</v>
      </c>
      <c r="F15" s="70" t="s">
        <v>33</v>
      </c>
      <c r="G15" s="71"/>
      <c r="H15" s="71"/>
      <c r="I15" s="72"/>
      <c r="J15" s="81"/>
      <c r="K15" s="74"/>
      <c r="L15" s="82"/>
      <c r="M15" s="63"/>
      <c r="N15" s="63"/>
      <c r="O15" s="63"/>
      <c r="P15" s="63"/>
      <c r="Q15" s="63"/>
      <c r="R15" s="63"/>
      <c r="S15" s="63"/>
      <c r="T15" s="63"/>
    </row>
    <row r="16">
      <c r="A16" s="18"/>
      <c r="B16" s="74"/>
      <c r="C16" s="20"/>
      <c r="D16" s="75">
        <v>5.99</v>
      </c>
      <c r="E16" s="84"/>
      <c r="F16" s="84"/>
      <c r="G16" s="76">
        <f>SUM(D16,E16,F16)</f>
        <v>5.99</v>
      </c>
      <c r="H16" s="77">
        <f>AVERAGE(D16,E16,F16)</f>
        <v>5.99</v>
      </c>
      <c r="I16" s="72"/>
      <c r="J16" s="78">
        <v>4.0</v>
      </c>
      <c r="K16" s="79"/>
      <c r="L16" s="80">
        <f>H16*J16</f>
        <v>23.96</v>
      </c>
      <c r="M16" s="63"/>
      <c r="N16" s="63"/>
      <c r="O16" s="63"/>
      <c r="P16" s="63"/>
      <c r="Q16" s="63"/>
      <c r="R16" s="63"/>
      <c r="S16" s="63"/>
      <c r="T16" s="63"/>
    </row>
    <row r="17">
      <c r="A17" s="68">
        <f>A15+1</f>
        <v>8</v>
      </c>
      <c r="B17" s="69" t="s">
        <v>34</v>
      </c>
      <c r="C17" s="12"/>
      <c r="D17" s="70" t="s">
        <v>35</v>
      </c>
      <c r="E17" s="70" t="s">
        <v>33</v>
      </c>
      <c r="F17" s="70" t="s">
        <v>33</v>
      </c>
      <c r="G17" s="71"/>
      <c r="H17" s="71"/>
      <c r="I17" s="72"/>
      <c r="J17" s="81"/>
      <c r="K17" s="74"/>
      <c r="L17" s="82"/>
      <c r="M17" s="63"/>
      <c r="N17" s="63"/>
      <c r="O17" s="63"/>
      <c r="P17" s="63"/>
      <c r="Q17" s="63"/>
      <c r="R17" s="63"/>
      <c r="S17" s="63"/>
      <c r="T17" s="63"/>
    </row>
    <row r="18">
      <c r="A18" s="18"/>
      <c r="B18" s="74"/>
      <c r="C18" s="20"/>
      <c r="D18" s="75">
        <v>2.89</v>
      </c>
      <c r="E18" s="84"/>
      <c r="F18" s="84"/>
      <c r="G18" s="76">
        <f>SUM(D18,E18,F18)</f>
        <v>2.89</v>
      </c>
      <c r="H18" s="77">
        <f>AVERAGE(D18,E18,F18)</f>
        <v>2.89</v>
      </c>
      <c r="I18" s="72"/>
      <c r="J18" s="78">
        <v>1.0</v>
      </c>
      <c r="K18" s="79"/>
      <c r="L18" s="80">
        <f>H18*J18</f>
        <v>2.89</v>
      </c>
      <c r="M18" s="63"/>
      <c r="N18" s="63"/>
      <c r="O18" s="63"/>
      <c r="P18" s="63"/>
      <c r="Q18" s="63"/>
      <c r="R18" s="63"/>
      <c r="S18" s="63"/>
      <c r="T18" s="63"/>
    </row>
    <row r="19">
      <c r="A19" s="68">
        <f>A17+1</f>
        <v>9</v>
      </c>
      <c r="B19" s="69" t="s">
        <v>36</v>
      </c>
      <c r="C19" s="12"/>
      <c r="D19" s="83" t="s">
        <v>37</v>
      </c>
      <c r="E19" s="70" t="s">
        <v>33</v>
      </c>
      <c r="F19" s="70" t="s">
        <v>33</v>
      </c>
      <c r="G19" s="71"/>
      <c r="H19" s="71"/>
      <c r="I19" s="72"/>
      <c r="J19" s="81"/>
      <c r="K19" s="74"/>
      <c r="L19" s="82"/>
      <c r="M19" s="63"/>
      <c r="N19" s="63"/>
      <c r="O19" s="63"/>
      <c r="P19" s="63"/>
      <c r="Q19" s="63"/>
      <c r="R19" s="63"/>
      <c r="S19" s="63"/>
      <c r="T19" s="63"/>
    </row>
    <row r="20">
      <c r="A20" s="18"/>
      <c r="B20" s="74"/>
      <c r="C20" s="20"/>
      <c r="D20" s="75">
        <v>4.89</v>
      </c>
      <c r="E20" s="84"/>
      <c r="F20" s="84"/>
      <c r="G20" s="76">
        <f>SUM(D20,E20,F20)</f>
        <v>4.89</v>
      </c>
      <c r="H20" s="77">
        <f>AVERAGE(D20,E20,F20)</f>
        <v>4.89</v>
      </c>
      <c r="I20" s="72"/>
      <c r="J20" s="78">
        <v>9.0</v>
      </c>
      <c r="K20" s="79"/>
      <c r="L20" s="80">
        <f>H20*J20</f>
        <v>44.01</v>
      </c>
      <c r="M20" s="63"/>
      <c r="N20" s="63"/>
      <c r="O20" s="63"/>
      <c r="P20" s="63"/>
      <c r="Q20" s="63"/>
      <c r="R20" s="63"/>
      <c r="S20" s="63"/>
      <c r="T20" s="63"/>
    </row>
    <row r="21">
      <c r="A21" s="68">
        <f>A19+1</f>
        <v>10</v>
      </c>
      <c r="B21" s="69" t="s">
        <v>38</v>
      </c>
      <c r="C21" s="12"/>
      <c r="D21" s="70" t="s">
        <v>39</v>
      </c>
      <c r="E21" s="70" t="s">
        <v>33</v>
      </c>
      <c r="F21" s="70" t="s">
        <v>33</v>
      </c>
      <c r="G21" s="71"/>
      <c r="H21" s="71"/>
      <c r="I21" s="72"/>
      <c r="J21" s="81"/>
      <c r="K21" s="74"/>
      <c r="L21" s="82"/>
      <c r="M21" s="63"/>
      <c r="N21" s="63"/>
      <c r="O21" s="63"/>
      <c r="P21" s="63"/>
      <c r="Q21" s="63"/>
      <c r="R21" s="63"/>
      <c r="S21" s="63"/>
      <c r="T21" s="63"/>
    </row>
    <row r="22">
      <c r="A22" s="18"/>
      <c r="B22" s="74"/>
      <c r="C22" s="20"/>
      <c r="D22" s="75">
        <v>12.0</v>
      </c>
      <c r="E22" s="84"/>
      <c r="F22" s="84"/>
      <c r="G22" s="76">
        <f>SUM(D22,E22,F22)</f>
        <v>12</v>
      </c>
      <c r="H22" s="77">
        <f>AVERAGE(D22,E22,F22)</f>
        <v>12</v>
      </c>
      <c r="I22" s="72"/>
      <c r="J22" s="78">
        <v>0.2</v>
      </c>
      <c r="K22" s="79"/>
      <c r="L22" s="80">
        <f>H22*J22</f>
        <v>2.4</v>
      </c>
      <c r="M22" s="63"/>
      <c r="N22" s="63"/>
      <c r="O22" s="63"/>
      <c r="P22" s="63"/>
      <c r="Q22" s="63"/>
      <c r="R22" s="63"/>
      <c r="S22" s="63"/>
      <c r="T22" s="63"/>
    </row>
    <row r="23">
      <c r="A23" s="68">
        <f>A21+1</f>
        <v>11</v>
      </c>
      <c r="B23" s="69" t="s">
        <v>40</v>
      </c>
      <c r="C23" s="12"/>
      <c r="D23" s="70" t="s">
        <v>41</v>
      </c>
      <c r="E23" s="70" t="s">
        <v>42</v>
      </c>
      <c r="F23" s="70" t="s">
        <v>33</v>
      </c>
      <c r="G23" s="71"/>
      <c r="H23" s="71"/>
      <c r="I23" s="72"/>
      <c r="J23" s="81"/>
      <c r="K23" s="74"/>
      <c r="L23" s="82"/>
      <c r="M23" s="63"/>
      <c r="N23" s="63"/>
      <c r="O23" s="63"/>
      <c r="P23" s="63"/>
      <c r="Q23" s="63"/>
      <c r="R23" s="63"/>
      <c r="S23" s="63"/>
      <c r="T23" s="63"/>
    </row>
    <row r="24">
      <c r="A24" s="18"/>
      <c r="B24" s="74"/>
      <c r="C24" s="20"/>
      <c r="D24" s="75">
        <v>8.9</v>
      </c>
      <c r="E24" s="75"/>
      <c r="F24" s="84"/>
      <c r="G24" s="76">
        <f>SUM(D24,E24,F24)</f>
        <v>8.9</v>
      </c>
      <c r="H24" s="77">
        <f>AVERAGE(D24,E24,F24)</f>
        <v>8.9</v>
      </c>
      <c r="I24" s="72"/>
      <c r="J24" s="78">
        <v>3.0</v>
      </c>
      <c r="K24" s="79"/>
      <c r="L24" s="80">
        <f>H24*J24</f>
        <v>26.7</v>
      </c>
      <c r="M24" s="63"/>
      <c r="N24" s="63"/>
      <c r="O24" s="63"/>
      <c r="P24" s="63"/>
      <c r="Q24" s="63"/>
      <c r="R24" s="63"/>
      <c r="S24" s="63"/>
      <c r="T24" s="63"/>
    </row>
    <row r="25">
      <c r="A25" s="68">
        <f>A23+1</f>
        <v>12</v>
      </c>
      <c r="B25" s="69" t="s">
        <v>43</v>
      </c>
      <c r="C25" s="12"/>
      <c r="D25" s="70" t="s">
        <v>44</v>
      </c>
      <c r="E25" s="70" t="s">
        <v>45</v>
      </c>
      <c r="F25" s="70" t="s">
        <v>46</v>
      </c>
      <c r="G25" s="71"/>
      <c r="H25" s="71"/>
      <c r="I25" s="72"/>
      <c r="J25" s="81"/>
      <c r="K25" s="74"/>
      <c r="L25" s="82"/>
      <c r="M25" s="63"/>
      <c r="N25" s="63"/>
      <c r="O25" s="63"/>
      <c r="P25" s="63"/>
      <c r="Q25" s="63"/>
      <c r="R25" s="63"/>
      <c r="S25" s="63"/>
      <c r="T25" s="63"/>
    </row>
    <row r="26">
      <c r="A26" s="18"/>
      <c r="B26" s="74"/>
      <c r="C26" s="20"/>
      <c r="D26" s="75"/>
      <c r="E26" s="75">
        <v>5.1</v>
      </c>
      <c r="F26" s="75">
        <v>4.99</v>
      </c>
      <c r="G26" s="76">
        <f>SUM(D26,E26,F26)</f>
        <v>10.09</v>
      </c>
      <c r="H26" s="77">
        <f>AVERAGE(D26,E26,F26)</f>
        <v>5.045</v>
      </c>
      <c r="I26" s="72"/>
      <c r="J26" s="78">
        <v>4.0</v>
      </c>
      <c r="K26" s="79"/>
      <c r="L26" s="80">
        <f>H26*J26</f>
        <v>20.18</v>
      </c>
      <c r="M26" s="63"/>
      <c r="N26" s="63"/>
      <c r="O26" s="63"/>
      <c r="P26" s="63"/>
      <c r="Q26" s="63"/>
      <c r="R26" s="63"/>
      <c r="S26" s="63"/>
      <c r="T26" s="63"/>
    </row>
    <row r="27">
      <c r="A27" s="68">
        <f>A25+1</f>
        <v>13</v>
      </c>
      <c r="B27" s="69" t="s">
        <v>47</v>
      </c>
      <c r="C27" s="12"/>
      <c r="D27" s="70" t="s">
        <v>48</v>
      </c>
      <c r="E27" s="70" t="s">
        <v>90</v>
      </c>
      <c r="F27" s="70" t="s">
        <v>50</v>
      </c>
      <c r="G27" s="71"/>
      <c r="H27" s="71"/>
      <c r="I27" s="72"/>
      <c r="J27" s="81"/>
      <c r="K27" s="74"/>
      <c r="L27" s="82"/>
      <c r="M27" s="63"/>
      <c r="N27" s="63"/>
      <c r="O27" s="63"/>
      <c r="P27" s="63"/>
      <c r="Q27" s="63"/>
      <c r="R27" s="63"/>
      <c r="S27" s="63"/>
      <c r="T27" s="63"/>
    </row>
    <row r="28">
      <c r="A28" s="18"/>
      <c r="B28" s="74"/>
      <c r="C28" s="20"/>
      <c r="D28" s="75">
        <v>1.89</v>
      </c>
      <c r="E28" s="75">
        <v>1.69</v>
      </c>
      <c r="F28" s="75"/>
      <c r="G28" s="76">
        <f>SUM(D28,E28,F28)</f>
        <v>3.58</v>
      </c>
      <c r="H28" s="77">
        <f>AVERAGE(D28,E28,F28)</f>
        <v>1.79</v>
      </c>
      <c r="I28" s="72"/>
      <c r="J28" s="78">
        <v>2.0</v>
      </c>
      <c r="K28" s="79"/>
      <c r="L28" s="80">
        <f>H28*J28</f>
        <v>3.58</v>
      </c>
      <c r="M28" s="63"/>
      <c r="N28" s="63"/>
      <c r="O28" s="63"/>
      <c r="P28" s="63"/>
      <c r="Q28" s="63"/>
      <c r="R28" s="63"/>
      <c r="S28" s="63"/>
      <c r="T28" s="63"/>
    </row>
    <row r="29">
      <c r="A29" s="68">
        <f>A27+1</f>
        <v>14</v>
      </c>
      <c r="B29" s="69" t="s">
        <v>51</v>
      </c>
      <c r="C29" s="12"/>
      <c r="D29" s="70" t="s">
        <v>52</v>
      </c>
      <c r="E29" s="70" t="s">
        <v>33</v>
      </c>
      <c r="F29" s="70" t="s">
        <v>33</v>
      </c>
      <c r="G29" s="71"/>
      <c r="H29" s="71"/>
      <c r="I29" s="72"/>
      <c r="J29" s="81"/>
      <c r="K29" s="74"/>
      <c r="L29" s="82"/>
      <c r="M29" s="63"/>
      <c r="N29" s="63"/>
      <c r="O29" s="63"/>
      <c r="P29" s="63"/>
      <c r="Q29" s="63"/>
      <c r="R29" s="63"/>
      <c r="S29" s="63"/>
      <c r="T29" s="63"/>
    </row>
    <row r="30">
      <c r="A30" s="18"/>
      <c r="B30" s="74"/>
      <c r="C30" s="20"/>
      <c r="D30" s="75">
        <v>13.9</v>
      </c>
      <c r="E30" s="84"/>
      <c r="F30" s="84"/>
      <c r="G30" s="76">
        <f>SUM(D30,E30,F30)</f>
        <v>13.9</v>
      </c>
      <c r="H30" s="77">
        <f>AVERAGE(D30,E30,F30)</f>
        <v>13.9</v>
      </c>
      <c r="I30" s="72"/>
      <c r="J30" s="78">
        <v>6.0</v>
      </c>
      <c r="K30" s="79"/>
      <c r="L30" s="80">
        <f>H30*J30</f>
        <v>83.4</v>
      </c>
      <c r="M30" s="63"/>
      <c r="N30" s="63"/>
      <c r="O30" s="63"/>
      <c r="P30" s="63"/>
      <c r="Q30" s="63"/>
      <c r="R30" s="63"/>
      <c r="S30" s="63"/>
      <c r="T30" s="63"/>
    </row>
    <row r="31">
      <c r="A31" s="68">
        <f>A29+1</f>
        <v>15</v>
      </c>
      <c r="B31" s="69" t="s">
        <v>53</v>
      </c>
      <c r="C31" s="12"/>
      <c r="D31" s="70" t="s">
        <v>54</v>
      </c>
      <c r="E31" s="70" t="s">
        <v>55</v>
      </c>
      <c r="F31" s="70" t="s">
        <v>33</v>
      </c>
      <c r="G31" s="71"/>
      <c r="H31" s="71"/>
      <c r="I31" s="72"/>
      <c r="J31" s="81"/>
      <c r="K31" s="74"/>
      <c r="L31" s="82"/>
      <c r="M31" s="63"/>
      <c r="N31" s="63"/>
      <c r="O31" s="63"/>
      <c r="P31" s="63"/>
      <c r="Q31" s="63"/>
      <c r="R31" s="63"/>
      <c r="S31" s="63"/>
      <c r="T31" s="63"/>
    </row>
    <row r="32">
      <c r="A32" s="18"/>
      <c r="B32" s="74"/>
      <c r="C32" s="20"/>
      <c r="D32" s="75">
        <v>3.9</v>
      </c>
      <c r="E32" s="75"/>
      <c r="F32" s="84"/>
      <c r="G32" s="76">
        <f>SUM(D32,E32,F32)</f>
        <v>3.9</v>
      </c>
      <c r="H32" s="77">
        <f>AVERAGE(D32,E32,F32)</f>
        <v>3.9</v>
      </c>
      <c r="I32" s="72"/>
      <c r="J32" s="78">
        <v>7.5</v>
      </c>
      <c r="K32" s="79"/>
      <c r="L32" s="80">
        <f>H32*J32</f>
        <v>29.25</v>
      </c>
      <c r="M32" s="63"/>
      <c r="N32" s="63"/>
      <c r="O32" s="63"/>
      <c r="P32" s="63"/>
      <c r="Q32" s="63"/>
      <c r="R32" s="63"/>
      <c r="S32" s="63"/>
      <c r="T32" s="63"/>
    </row>
    <row r="33">
      <c r="A33" s="68">
        <f>A31+1</f>
        <v>16</v>
      </c>
      <c r="B33" s="69" t="s">
        <v>56</v>
      </c>
      <c r="C33" s="12"/>
      <c r="D33" s="70" t="s">
        <v>57</v>
      </c>
      <c r="E33" s="70" t="s">
        <v>134</v>
      </c>
      <c r="F33" s="70" t="s">
        <v>59</v>
      </c>
      <c r="G33" s="71"/>
      <c r="H33" s="71"/>
      <c r="I33" s="72"/>
      <c r="J33" s="81"/>
      <c r="K33" s="74"/>
      <c r="L33" s="82"/>
      <c r="M33" s="63"/>
      <c r="N33" s="63"/>
      <c r="O33" s="63"/>
      <c r="P33" s="63"/>
      <c r="Q33" s="63"/>
      <c r="R33" s="63"/>
      <c r="S33" s="63"/>
      <c r="T33" s="63"/>
    </row>
    <row r="34">
      <c r="A34" s="18"/>
      <c r="B34" s="74"/>
      <c r="C34" s="20"/>
      <c r="D34" s="75">
        <v>7.89</v>
      </c>
      <c r="E34" s="75"/>
      <c r="F34" s="75"/>
      <c r="G34" s="76">
        <f>SUM(D34,E34,F34)</f>
        <v>7.89</v>
      </c>
      <c r="H34" s="77">
        <f>AVERAGE(D34,E34,F34)</f>
        <v>7.89</v>
      </c>
      <c r="I34" s="72"/>
      <c r="J34" s="78">
        <v>5.0</v>
      </c>
      <c r="K34" s="79"/>
      <c r="L34" s="80">
        <f>H34*J34</f>
        <v>39.45</v>
      </c>
      <c r="M34" s="63"/>
      <c r="N34" s="63"/>
      <c r="O34" s="63"/>
      <c r="P34" s="63"/>
      <c r="Q34" s="63"/>
      <c r="R34" s="63"/>
      <c r="S34" s="63"/>
      <c r="T34" s="63"/>
    </row>
    <row r="35">
      <c r="A35" s="68">
        <f>A33+1</f>
        <v>17</v>
      </c>
      <c r="B35" s="69" t="s">
        <v>60</v>
      </c>
      <c r="C35" s="12"/>
      <c r="D35" s="70" t="s">
        <v>61</v>
      </c>
      <c r="E35" s="70" t="s">
        <v>62</v>
      </c>
      <c r="F35" s="70" t="s">
        <v>63</v>
      </c>
      <c r="G35" s="71"/>
      <c r="H35" s="71"/>
      <c r="I35" s="72"/>
      <c r="J35" s="81"/>
      <c r="K35" s="74"/>
      <c r="L35" s="82"/>
      <c r="M35" s="63"/>
      <c r="N35" s="63"/>
      <c r="O35" s="63"/>
      <c r="P35" s="63"/>
      <c r="Q35" s="63"/>
      <c r="R35" s="63"/>
      <c r="S35" s="63"/>
      <c r="T35" s="63"/>
    </row>
    <row r="36">
      <c r="A36" s="18"/>
      <c r="B36" s="74"/>
      <c r="C36" s="20"/>
      <c r="D36" s="75">
        <v>4.98</v>
      </c>
      <c r="E36" s="75">
        <v>5.0</v>
      </c>
      <c r="F36" s="75"/>
      <c r="G36" s="76">
        <f>SUM(D36,E36,F36)</f>
        <v>9.98</v>
      </c>
      <c r="H36" s="77">
        <f>AVERAGE(D36,E36,F36)</f>
        <v>4.99</v>
      </c>
      <c r="I36" s="72"/>
      <c r="J36" s="78">
        <v>7.5</v>
      </c>
      <c r="K36" s="79"/>
      <c r="L36" s="80">
        <f>H36*J36</f>
        <v>37.425</v>
      </c>
      <c r="M36" s="63"/>
      <c r="N36" s="63"/>
      <c r="O36" s="63"/>
      <c r="P36" s="63"/>
      <c r="Q36" s="63"/>
      <c r="R36" s="63"/>
      <c r="S36" s="63"/>
      <c r="T36" s="63"/>
    </row>
    <row r="37">
      <c r="A37" s="68">
        <f>A35+1</f>
        <v>18</v>
      </c>
      <c r="B37" s="69" t="s">
        <v>64</v>
      </c>
      <c r="C37" s="12"/>
      <c r="D37" s="70" t="s">
        <v>61</v>
      </c>
      <c r="E37" s="70" t="s">
        <v>135</v>
      </c>
      <c r="F37" s="70" t="s">
        <v>63</v>
      </c>
      <c r="G37" s="71"/>
      <c r="H37" s="71"/>
      <c r="I37" s="72"/>
      <c r="J37" s="81"/>
      <c r="K37" s="74"/>
      <c r="L37" s="82"/>
      <c r="M37" s="63"/>
      <c r="N37" s="63"/>
      <c r="O37" s="63"/>
      <c r="P37" s="63"/>
      <c r="Q37" s="63"/>
      <c r="R37" s="63"/>
      <c r="S37" s="63"/>
      <c r="T37" s="63"/>
    </row>
    <row r="38">
      <c r="A38" s="18"/>
      <c r="B38" s="74"/>
      <c r="C38" s="20"/>
      <c r="D38" s="75">
        <v>16.9</v>
      </c>
      <c r="E38" s="75">
        <v>17.89</v>
      </c>
      <c r="F38" s="75"/>
      <c r="G38" s="76">
        <f>SUM(D38,E38,F38)</f>
        <v>34.79</v>
      </c>
      <c r="H38" s="77">
        <f>AVERAGE(D38,E38,F38)</f>
        <v>17.395</v>
      </c>
      <c r="I38" s="72"/>
      <c r="J38" s="78">
        <v>3.0</v>
      </c>
      <c r="K38" s="79"/>
      <c r="L38" s="80">
        <f>H38*J38</f>
        <v>52.185</v>
      </c>
      <c r="M38" s="63"/>
      <c r="N38" s="63"/>
      <c r="O38" s="63"/>
      <c r="P38" s="63"/>
      <c r="Q38" s="63"/>
      <c r="R38" s="63"/>
      <c r="S38" s="63"/>
      <c r="T38" s="63"/>
    </row>
    <row r="39">
      <c r="A39" s="68">
        <f>A37+1</f>
        <v>19</v>
      </c>
      <c r="B39" s="69" t="s">
        <v>66</v>
      </c>
      <c r="C39" s="12"/>
      <c r="D39" s="70" t="s">
        <v>48</v>
      </c>
      <c r="E39" s="70" t="s">
        <v>136</v>
      </c>
      <c r="F39" s="70" t="s">
        <v>26</v>
      </c>
      <c r="G39" s="71"/>
      <c r="H39" s="71"/>
      <c r="I39" s="72"/>
      <c r="J39" s="81"/>
      <c r="K39" s="74"/>
      <c r="L39" s="82"/>
      <c r="M39" s="63"/>
      <c r="N39" s="63"/>
      <c r="O39" s="63"/>
      <c r="P39" s="63"/>
      <c r="Q39" s="63"/>
      <c r="R39" s="63"/>
      <c r="S39" s="63"/>
      <c r="T39" s="63"/>
    </row>
    <row r="40">
      <c r="A40" s="18"/>
      <c r="B40" s="74"/>
      <c r="C40" s="20"/>
      <c r="D40" s="75"/>
      <c r="E40" s="75"/>
      <c r="F40" s="75">
        <v>3.9</v>
      </c>
      <c r="G40" s="76">
        <f>SUM(D40,E40,F40)</f>
        <v>3.9</v>
      </c>
      <c r="H40" s="77">
        <f>AVERAGE(D40,E40,F40)</f>
        <v>3.9</v>
      </c>
      <c r="I40" s="72"/>
      <c r="J40" s="78">
        <v>4.0</v>
      </c>
      <c r="K40" s="79"/>
      <c r="L40" s="80">
        <f>H40*J40</f>
        <v>15.6</v>
      </c>
      <c r="M40" s="63"/>
      <c r="N40" s="63"/>
      <c r="O40" s="63"/>
      <c r="P40" s="63"/>
      <c r="Q40" s="63"/>
      <c r="R40" s="63"/>
      <c r="S40" s="63"/>
      <c r="T40" s="63"/>
    </row>
    <row r="41">
      <c r="A41" s="68">
        <f>A39+1</f>
        <v>20</v>
      </c>
      <c r="B41" s="69" t="s">
        <v>68</v>
      </c>
      <c r="C41" s="12"/>
      <c r="D41" s="70" t="s">
        <v>137</v>
      </c>
      <c r="E41" s="70" t="s">
        <v>70</v>
      </c>
      <c r="F41" s="70" t="s">
        <v>71</v>
      </c>
      <c r="G41" s="71"/>
      <c r="H41" s="71"/>
      <c r="I41" s="72"/>
      <c r="J41" s="81"/>
      <c r="K41" s="74"/>
      <c r="L41" s="82"/>
      <c r="M41" s="63"/>
      <c r="N41" s="63"/>
      <c r="O41" s="63"/>
      <c r="P41" s="63"/>
      <c r="Q41" s="63"/>
      <c r="R41" s="63"/>
      <c r="S41" s="63"/>
      <c r="T41" s="63"/>
    </row>
    <row r="42">
      <c r="A42" s="18"/>
      <c r="B42" s="74"/>
      <c r="C42" s="20"/>
      <c r="D42" s="75"/>
      <c r="E42" s="75"/>
      <c r="F42" s="75">
        <v>3.19</v>
      </c>
      <c r="G42" s="76">
        <f>SUM(D42,E42,F42)</f>
        <v>3.19</v>
      </c>
      <c r="H42" s="77">
        <f>AVERAGE(D42,E42,F42)</f>
        <v>3.19</v>
      </c>
      <c r="I42" s="72"/>
      <c r="J42" s="78">
        <v>4.0</v>
      </c>
      <c r="K42" s="79"/>
      <c r="L42" s="80">
        <f>H42*J42</f>
        <v>12.76</v>
      </c>
      <c r="M42" s="63"/>
      <c r="N42" s="63"/>
      <c r="O42" s="63"/>
      <c r="P42" s="63"/>
      <c r="Q42" s="63"/>
      <c r="R42" s="63"/>
      <c r="S42" s="63"/>
      <c r="T42" s="63"/>
    </row>
    <row r="43">
      <c r="A43" s="68">
        <f>A41+1</f>
        <v>21</v>
      </c>
      <c r="B43" s="69" t="s">
        <v>72</v>
      </c>
      <c r="C43" s="12"/>
      <c r="D43" s="70" t="s">
        <v>73</v>
      </c>
      <c r="E43" s="70" t="s">
        <v>74</v>
      </c>
      <c r="F43" s="70" t="s">
        <v>138</v>
      </c>
      <c r="G43" s="71"/>
      <c r="H43" s="71"/>
      <c r="I43" s="72"/>
      <c r="J43" s="81"/>
      <c r="K43" s="74"/>
      <c r="L43" s="82"/>
      <c r="M43" s="63"/>
      <c r="N43" s="63"/>
      <c r="O43" s="63"/>
      <c r="P43" s="63"/>
      <c r="Q43" s="63"/>
      <c r="R43" s="63"/>
      <c r="S43" s="63"/>
      <c r="T43" s="63"/>
    </row>
    <row r="44">
      <c r="A44" s="18"/>
      <c r="B44" s="74"/>
      <c r="C44" s="20"/>
      <c r="D44" s="75">
        <v>42.89</v>
      </c>
      <c r="E44" s="75">
        <v>39.99</v>
      </c>
      <c r="F44" s="75"/>
      <c r="G44" s="76">
        <f>SUM(D44,E44,F44)</f>
        <v>82.88</v>
      </c>
      <c r="H44" s="77">
        <f>AVERAGE(D44,E44,F44)</f>
        <v>41.44</v>
      </c>
      <c r="I44" s="72"/>
      <c r="J44" s="78">
        <v>3.0</v>
      </c>
      <c r="K44" s="79"/>
      <c r="L44" s="80">
        <f>H44*J44</f>
        <v>124.32</v>
      </c>
      <c r="M44" s="63"/>
      <c r="N44" s="63"/>
      <c r="O44" s="63"/>
      <c r="P44" s="63"/>
      <c r="Q44" s="63"/>
      <c r="R44" s="63"/>
      <c r="S44" s="63"/>
      <c r="T44" s="63"/>
    </row>
    <row r="45">
      <c r="A45" s="68">
        <f>A43+1</f>
        <v>22</v>
      </c>
      <c r="B45" s="69" t="s">
        <v>76</v>
      </c>
      <c r="C45" s="12"/>
      <c r="D45" s="70" t="s">
        <v>77</v>
      </c>
      <c r="E45" s="70" t="s">
        <v>78</v>
      </c>
      <c r="F45" s="70" t="s">
        <v>139</v>
      </c>
      <c r="G45" s="71"/>
      <c r="H45" s="71"/>
      <c r="I45" s="72"/>
      <c r="J45" s="81"/>
      <c r="K45" s="74"/>
      <c r="L45" s="82"/>
      <c r="M45" s="63"/>
      <c r="N45" s="63"/>
      <c r="O45" s="63"/>
      <c r="P45" s="63"/>
      <c r="Q45" s="63"/>
      <c r="R45" s="63"/>
      <c r="S45" s="63"/>
      <c r="T45" s="63"/>
    </row>
    <row r="46">
      <c r="A46" s="18"/>
      <c r="B46" s="74"/>
      <c r="C46" s="20"/>
      <c r="D46" s="75">
        <v>31.99</v>
      </c>
      <c r="E46" s="75"/>
      <c r="F46" s="75"/>
      <c r="G46" s="76">
        <f>SUM(D46,E46,F46)</f>
        <v>31.99</v>
      </c>
      <c r="H46" s="77">
        <f>AVERAGE(D46,E46,F46)</f>
        <v>31.99</v>
      </c>
      <c r="I46" s="72"/>
      <c r="J46" s="78">
        <v>4.0</v>
      </c>
      <c r="K46" s="79"/>
      <c r="L46" s="80">
        <f>H46*J46</f>
        <v>127.96</v>
      </c>
      <c r="M46" s="63"/>
      <c r="N46" s="63"/>
      <c r="O46" s="63"/>
      <c r="P46" s="63"/>
      <c r="Q46" s="63"/>
      <c r="R46" s="63"/>
      <c r="S46" s="63"/>
      <c r="T46" s="63"/>
    </row>
    <row r="47">
      <c r="A47" s="68">
        <f>A45+1</f>
        <v>23</v>
      </c>
      <c r="B47" s="69" t="s">
        <v>80</v>
      </c>
      <c r="C47" s="12"/>
      <c r="D47" s="70" t="s">
        <v>84</v>
      </c>
      <c r="E47" s="70" t="s">
        <v>82</v>
      </c>
      <c r="F47" s="70" t="s">
        <v>33</v>
      </c>
      <c r="G47" s="71"/>
      <c r="H47" s="71"/>
      <c r="I47" s="72"/>
      <c r="J47" s="81"/>
      <c r="K47" s="74"/>
      <c r="L47" s="82"/>
      <c r="M47" s="63"/>
      <c r="N47" s="63"/>
      <c r="O47" s="63"/>
      <c r="P47" s="63"/>
      <c r="Q47" s="63"/>
      <c r="R47" s="63"/>
      <c r="S47" s="63"/>
      <c r="T47" s="63"/>
    </row>
    <row r="48">
      <c r="A48" s="18"/>
      <c r="B48" s="74"/>
      <c r="C48" s="20"/>
      <c r="D48" s="75">
        <v>7.99</v>
      </c>
      <c r="E48" s="75">
        <v>8.99</v>
      </c>
      <c r="F48" s="84"/>
      <c r="G48" s="76">
        <f>SUM(D48,E48,F48)</f>
        <v>16.98</v>
      </c>
      <c r="H48" s="77">
        <f>AVERAGE(D48,E48,F48)</f>
        <v>8.49</v>
      </c>
      <c r="I48" s="72"/>
      <c r="J48" s="78">
        <v>5.0</v>
      </c>
      <c r="K48" s="79"/>
      <c r="L48" s="80">
        <f>H48*J48</f>
        <v>42.45</v>
      </c>
      <c r="M48" s="63"/>
      <c r="N48" s="63"/>
      <c r="O48" s="63"/>
      <c r="P48" s="63"/>
      <c r="Q48" s="63"/>
      <c r="R48" s="63"/>
      <c r="S48" s="63"/>
      <c r="T48" s="63"/>
    </row>
    <row r="49">
      <c r="A49" s="68">
        <f>A47+1</f>
        <v>24</v>
      </c>
      <c r="B49" s="69" t="s">
        <v>83</v>
      </c>
      <c r="C49" s="12"/>
      <c r="D49" s="83" t="s">
        <v>84</v>
      </c>
      <c r="E49" s="70" t="s">
        <v>82</v>
      </c>
      <c r="F49" s="70" t="s">
        <v>85</v>
      </c>
      <c r="G49" s="71"/>
      <c r="H49" s="71"/>
      <c r="I49" s="72"/>
      <c r="J49" s="81"/>
      <c r="K49" s="74"/>
      <c r="L49" s="82"/>
      <c r="M49" s="63"/>
      <c r="N49" s="63"/>
      <c r="O49" s="63"/>
      <c r="P49" s="63"/>
      <c r="Q49" s="63"/>
      <c r="R49" s="63"/>
      <c r="S49" s="63"/>
      <c r="T49" s="63"/>
    </row>
    <row r="50">
      <c r="A50" s="18"/>
      <c r="B50" s="74"/>
      <c r="C50" s="20"/>
      <c r="D50" s="75">
        <v>8.7</v>
      </c>
      <c r="E50" s="75"/>
      <c r="F50" s="75"/>
      <c r="G50" s="76">
        <f>SUM(D50,E50,F50)</f>
        <v>8.7</v>
      </c>
      <c r="H50" s="77">
        <f>AVERAGE(D50,E50,F50)</f>
        <v>8.7</v>
      </c>
      <c r="I50" s="72"/>
      <c r="J50" s="78">
        <v>0.5</v>
      </c>
      <c r="K50" s="79"/>
      <c r="L50" s="80">
        <f>H50*J50</f>
        <v>4.35</v>
      </c>
      <c r="M50" s="63"/>
      <c r="N50" s="63"/>
      <c r="O50" s="63"/>
      <c r="P50" s="63"/>
      <c r="Q50" s="63"/>
      <c r="R50" s="63"/>
      <c r="S50" s="63"/>
      <c r="T50" s="63"/>
    </row>
    <row r="51">
      <c r="A51" s="68">
        <f>A49+1</f>
        <v>25</v>
      </c>
      <c r="B51" s="69" t="s">
        <v>86</v>
      </c>
      <c r="C51" s="12"/>
      <c r="D51" s="70" t="s">
        <v>140</v>
      </c>
      <c r="E51" s="70" t="s">
        <v>82</v>
      </c>
      <c r="F51" s="70" t="s">
        <v>141</v>
      </c>
      <c r="G51" s="71"/>
      <c r="H51" s="71"/>
      <c r="I51" s="72"/>
      <c r="J51" s="81"/>
      <c r="K51" s="74"/>
      <c r="L51" s="82"/>
      <c r="M51" s="63"/>
      <c r="N51" s="63"/>
      <c r="O51" s="63"/>
      <c r="P51" s="63"/>
      <c r="Q51" s="63"/>
      <c r="R51" s="63"/>
      <c r="S51" s="63"/>
      <c r="T51" s="63"/>
    </row>
    <row r="52">
      <c r="A52" s="18"/>
      <c r="B52" s="74"/>
      <c r="C52" s="20"/>
      <c r="D52" s="75"/>
      <c r="E52" s="75"/>
      <c r="F52" s="75">
        <v>18.8</v>
      </c>
      <c r="G52" s="76">
        <f>SUM(D52,E52,F52)</f>
        <v>18.8</v>
      </c>
      <c r="H52" s="77">
        <f>AVERAGE(D52,E52,F52)</f>
        <v>18.8</v>
      </c>
      <c r="I52" s="72"/>
      <c r="J52" s="78">
        <v>0.3</v>
      </c>
      <c r="K52" s="79"/>
      <c r="L52" s="80">
        <f>H52*J52</f>
        <v>5.64</v>
      </c>
      <c r="M52" s="63"/>
      <c r="N52" s="63"/>
      <c r="O52" s="63"/>
      <c r="P52" s="63"/>
      <c r="Q52" s="63"/>
      <c r="R52" s="63"/>
      <c r="S52" s="63"/>
      <c r="T52" s="63"/>
    </row>
    <row r="53">
      <c r="A53" s="68">
        <f>A51+1</f>
        <v>26</v>
      </c>
      <c r="B53" s="69" t="s">
        <v>88</v>
      </c>
      <c r="C53" s="12"/>
      <c r="D53" s="70" t="s">
        <v>142</v>
      </c>
      <c r="E53" s="70" t="s">
        <v>90</v>
      </c>
      <c r="F53" s="70" t="s">
        <v>143</v>
      </c>
      <c r="G53" s="71"/>
      <c r="H53" s="71"/>
      <c r="I53" s="72"/>
      <c r="J53" s="81"/>
      <c r="K53" s="74"/>
      <c r="L53" s="82"/>
      <c r="M53" s="63"/>
      <c r="N53" s="63"/>
      <c r="O53" s="63"/>
      <c r="P53" s="63"/>
      <c r="Q53" s="63"/>
      <c r="R53" s="63"/>
      <c r="S53" s="63"/>
      <c r="T53" s="63"/>
    </row>
    <row r="54">
      <c r="A54" s="18"/>
      <c r="B54" s="74"/>
      <c r="C54" s="20"/>
      <c r="D54" s="75"/>
      <c r="E54" s="75">
        <v>38.0</v>
      </c>
      <c r="F54" s="75"/>
      <c r="G54" s="76">
        <f>SUM(D54,E54,F54)</f>
        <v>38</v>
      </c>
      <c r="H54" s="77">
        <f>AVERAGE(D54,E54,F54)</f>
        <v>38</v>
      </c>
      <c r="I54" s="85"/>
      <c r="J54" s="78">
        <v>0.5</v>
      </c>
      <c r="K54" s="85"/>
      <c r="L54" s="80">
        <f>H54*J54</f>
        <v>19</v>
      </c>
      <c r="M54" s="63"/>
      <c r="N54" s="63"/>
      <c r="O54" s="63"/>
      <c r="P54" s="63"/>
      <c r="Q54" s="63"/>
      <c r="R54" s="63"/>
      <c r="S54" s="63"/>
      <c r="T54" s="63"/>
    </row>
    <row r="55">
      <c r="A55" s="86" t="s">
        <v>106</v>
      </c>
      <c r="B55" s="74"/>
      <c r="C55" s="74"/>
      <c r="D55" s="74"/>
      <c r="E55" s="74"/>
      <c r="F55" s="74"/>
      <c r="G55" s="82"/>
      <c r="H55" s="87">
        <f>SUM(H4:H54)</f>
        <v>325.515</v>
      </c>
      <c r="I55" s="85"/>
      <c r="J55" s="88" t="s">
        <v>6</v>
      </c>
      <c r="K55" s="20"/>
      <c r="L55" s="89">
        <f>SUM(L4:L54)</f>
        <v>945.74</v>
      </c>
      <c r="M55" s="63"/>
      <c r="N55" s="63"/>
      <c r="O55" s="63"/>
      <c r="P55" s="63"/>
      <c r="Q55" s="63"/>
      <c r="R55" s="63"/>
      <c r="S55" s="63"/>
      <c r="T55" s="63"/>
    </row>
    <row r="56">
      <c r="A56" s="90" t="s">
        <v>144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  <c r="P56" s="63"/>
      <c r="Q56" s="63"/>
      <c r="R56" s="63"/>
      <c r="S56" s="63"/>
      <c r="T56" s="63"/>
    </row>
    <row r="57">
      <c r="A57" s="68">
        <f>A53+1</f>
        <v>27</v>
      </c>
      <c r="B57" s="69" t="s">
        <v>145</v>
      </c>
      <c r="C57" s="12"/>
      <c r="D57" s="70" t="s">
        <v>94</v>
      </c>
      <c r="E57" s="70" t="s">
        <v>95</v>
      </c>
      <c r="F57" s="70" t="s">
        <v>96</v>
      </c>
      <c r="G57" s="71"/>
      <c r="H57" s="71"/>
      <c r="I57" s="72"/>
      <c r="J57" s="81"/>
      <c r="K57" s="74"/>
      <c r="L57" s="82"/>
      <c r="M57" s="63"/>
      <c r="N57" s="63"/>
      <c r="O57" s="63"/>
      <c r="P57" s="63"/>
      <c r="Q57" s="63"/>
      <c r="R57" s="63"/>
      <c r="S57" s="63"/>
      <c r="T57" s="63"/>
    </row>
    <row r="58">
      <c r="A58" s="18"/>
      <c r="B58" s="74"/>
      <c r="C58" s="20"/>
      <c r="D58" s="75">
        <v>4.8</v>
      </c>
      <c r="E58" s="75"/>
      <c r="F58" s="75"/>
      <c r="G58" s="76">
        <f>SUM(D58,E58,F58)</f>
        <v>4.8</v>
      </c>
      <c r="H58" s="77">
        <f>AVERAGE(D58,E58,F58)</f>
        <v>4.8</v>
      </c>
      <c r="I58" s="72"/>
      <c r="J58" s="78">
        <v>4.0</v>
      </c>
      <c r="K58" s="79"/>
      <c r="L58" s="80">
        <f>H58*J58</f>
        <v>19.2</v>
      </c>
      <c r="M58" s="63"/>
      <c r="N58" s="63"/>
      <c r="O58" s="63"/>
      <c r="P58" s="63"/>
      <c r="Q58" s="63"/>
      <c r="R58" s="63"/>
      <c r="S58" s="63"/>
      <c r="T58" s="63"/>
    </row>
    <row r="59">
      <c r="A59" s="68">
        <f>A57+1</f>
        <v>28</v>
      </c>
      <c r="B59" s="69" t="s">
        <v>97</v>
      </c>
      <c r="C59" s="12"/>
      <c r="D59" s="70" t="s">
        <v>99</v>
      </c>
      <c r="E59" s="70" t="s">
        <v>104</v>
      </c>
      <c r="F59" s="70" t="s">
        <v>33</v>
      </c>
      <c r="G59" s="71"/>
      <c r="H59" s="71"/>
      <c r="I59" s="72"/>
      <c r="J59" s="81"/>
      <c r="K59" s="74"/>
      <c r="L59" s="82"/>
      <c r="M59" s="63"/>
      <c r="N59" s="63"/>
      <c r="O59" s="63"/>
      <c r="P59" s="63"/>
      <c r="Q59" s="63"/>
      <c r="R59" s="63"/>
      <c r="S59" s="63"/>
      <c r="T59" s="63"/>
    </row>
    <row r="60">
      <c r="A60" s="18"/>
      <c r="B60" s="74"/>
      <c r="C60" s="20"/>
      <c r="D60" s="75">
        <v>3.28</v>
      </c>
      <c r="E60" s="75">
        <v>3.58</v>
      </c>
      <c r="F60" s="84"/>
      <c r="G60" s="76">
        <f>SUM(D60,E60,F60)</f>
        <v>6.86</v>
      </c>
      <c r="H60" s="77">
        <f>AVERAGE(D60,E60,F60)</f>
        <v>3.43</v>
      </c>
      <c r="I60" s="72"/>
      <c r="J60" s="78">
        <v>15.0</v>
      </c>
      <c r="K60" s="79"/>
      <c r="L60" s="80">
        <f>H60*J60</f>
        <v>51.45</v>
      </c>
      <c r="M60" s="63"/>
      <c r="N60" s="63"/>
      <c r="O60" s="63"/>
      <c r="P60" s="63"/>
      <c r="Q60" s="63"/>
      <c r="R60" s="63"/>
      <c r="S60" s="63"/>
      <c r="T60" s="63"/>
    </row>
    <row r="61">
      <c r="A61" s="68">
        <f>A59+1</f>
        <v>29</v>
      </c>
      <c r="B61" s="69" t="s">
        <v>100</v>
      </c>
      <c r="C61" s="12"/>
      <c r="D61" s="70" t="s">
        <v>146</v>
      </c>
      <c r="E61" s="70" t="s">
        <v>147</v>
      </c>
      <c r="F61" s="70" t="s">
        <v>148</v>
      </c>
      <c r="G61" s="71"/>
      <c r="H61" s="71"/>
      <c r="I61" s="72"/>
      <c r="J61" s="81"/>
      <c r="K61" s="74"/>
      <c r="L61" s="82"/>
      <c r="M61" s="63"/>
      <c r="N61" s="63"/>
      <c r="O61" s="63"/>
      <c r="P61" s="63"/>
      <c r="Q61" s="63"/>
      <c r="R61" s="63"/>
      <c r="S61" s="63"/>
      <c r="T61" s="63"/>
    </row>
    <row r="62">
      <c r="A62" s="18"/>
      <c r="B62" s="74"/>
      <c r="C62" s="20"/>
      <c r="D62" s="75">
        <v>2.1</v>
      </c>
      <c r="E62" s="75">
        <v>2.58</v>
      </c>
      <c r="F62" s="75"/>
      <c r="G62" s="76">
        <f>SUM(D62,E62,F62)</f>
        <v>4.68</v>
      </c>
      <c r="H62" s="77">
        <f>AVERAGE(D62,E62,F62)</f>
        <v>2.34</v>
      </c>
      <c r="I62" s="72"/>
      <c r="J62" s="78">
        <v>2.0</v>
      </c>
      <c r="K62" s="79"/>
      <c r="L62" s="80">
        <f>H62*J62</f>
        <v>4.68</v>
      </c>
      <c r="M62" s="63"/>
      <c r="N62" s="63"/>
      <c r="O62" s="63"/>
      <c r="P62" s="63"/>
      <c r="Q62" s="63"/>
      <c r="R62" s="63"/>
      <c r="S62" s="63"/>
      <c r="T62" s="63"/>
    </row>
    <row r="63">
      <c r="A63" s="68">
        <f>A61+1</f>
        <v>30</v>
      </c>
      <c r="B63" s="69" t="s">
        <v>103</v>
      </c>
      <c r="C63" s="12"/>
      <c r="D63" s="70" t="s">
        <v>99</v>
      </c>
      <c r="E63" s="70" t="s">
        <v>104</v>
      </c>
      <c r="F63" s="70" t="s">
        <v>105</v>
      </c>
      <c r="G63" s="71"/>
      <c r="H63" s="71"/>
      <c r="I63" s="72"/>
      <c r="J63" s="81"/>
      <c r="K63" s="74"/>
      <c r="L63" s="82"/>
      <c r="M63" s="63"/>
      <c r="N63" s="63"/>
      <c r="O63" s="63"/>
      <c r="P63" s="63"/>
      <c r="Q63" s="63"/>
      <c r="R63" s="63"/>
      <c r="S63" s="63"/>
      <c r="T63" s="63"/>
    </row>
    <row r="64">
      <c r="A64" s="18"/>
      <c r="B64" s="74"/>
      <c r="C64" s="20"/>
      <c r="D64" s="75">
        <v>2.59</v>
      </c>
      <c r="E64" s="75">
        <v>2.59</v>
      </c>
      <c r="F64" s="75"/>
      <c r="G64" s="76">
        <f>SUM(D64,E64,F64)</f>
        <v>5.18</v>
      </c>
      <c r="H64" s="77">
        <f>AVERAGE(D64,E64,F64)</f>
        <v>2.59</v>
      </c>
      <c r="I64" s="85"/>
      <c r="J64" s="78">
        <v>2.0</v>
      </c>
      <c r="K64" s="79"/>
      <c r="L64" s="80">
        <f>H64*J64</f>
        <v>5.18</v>
      </c>
      <c r="M64" s="63"/>
      <c r="N64" s="63"/>
      <c r="O64" s="63"/>
      <c r="P64" s="63"/>
      <c r="Q64" s="63"/>
      <c r="R64" s="63"/>
      <c r="S64" s="63"/>
      <c r="T64" s="63"/>
    </row>
    <row r="65">
      <c r="A65" s="86" t="s">
        <v>106</v>
      </c>
      <c r="B65" s="74"/>
      <c r="C65" s="74"/>
      <c r="D65" s="74"/>
      <c r="E65" s="74"/>
      <c r="F65" s="74"/>
      <c r="G65" s="82"/>
      <c r="H65" s="87">
        <f>SUM(H57:H64)</f>
        <v>13.16</v>
      </c>
      <c r="I65" s="85"/>
      <c r="J65" s="88" t="s">
        <v>6</v>
      </c>
      <c r="K65" s="20"/>
      <c r="L65" s="89">
        <f>SUM(L57:L64)</f>
        <v>80.51</v>
      </c>
      <c r="M65" s="63"/>
      <c r="N65" s="63"/>
      <c r="O65" s="63"/>
      <c r="P65" s="63"/>
      <c r="Q65" s="63"/>
      <c r="R65" s="63"/>
      <c r="S65" s="63"/>
      <c r="T65" s="63"/>
    </row>
    <row r="66">
      <c r="A66" s="90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  <c r="P66" s="63"/>
      <c r="Q66" s="63"/>
      <c r="R66" s="63"/>
      <c r="S66" s="63"/>
      <c r="T66" s="63"/>
    </row>
    <row r="67">
      <c r="A67" s="68">
        <f>A63+1</f>
        <v>31</v>
      </c>
      <c r="B67" s="69" t="s">
        <v>108</v>
      </c>
      <c r="C67" s="12"/>
      <c r="D67" s="70" t="s">
        <v>109</v>
      </c>
      <c r="E67" s="70" t="s">
        <v>149</v>
      </c>
      <c r="F67" s="70" t="s">
        <v>150</v>
      </c>
      <c r="G67" s="71"/>
      <c r="H67" s="71"/>
      <c r="I67" s="72"/>
      <c r="J67" s="81"/>
      <c r="K67" s="74"/>
      <c r="L67" s="82"/>
      <c r="M67" s="63"/>
      <c r="N67" s="63"/>
      <c r="O67" s="63"/>
      <c r="P67" s="63"/>
      <c r="Q67" s="63"/>
      <c r="R67" s="63"/>
      <c r="S67" s="63"/>
      <c r="T67" s="63"/>
    </row>
    <row r="68">
      <c r="A68" s="18"/>
      <c r="B68" s="74"/>
      <c r="C68" s="20"/>
      <c r="D68" s="75">
        <v>4.8</v>
      </c>
      <c r="E68" s="75"/>
      <c r="F68" s="75"/>
      <c r="G68" s="76">
        <f>SUM(D68,E68,F68)</f>
        <v>4.8</v>
      </c>
      <c r="H68" s="77">
        <f>AVERAGE(D68,E68,F68)</f>
        <v>4.8</v>
      </c>
      <c r="I68" s="72"/>
      <c r="J68" s="78">
        <v>3.0</v>
      </c>
      <c r="K68" s="79"/>
      <c r="L68" s="80">
        <f>H68*J68</f>
        <v>14.4</v>
      </c>
      <c r="M68" s="63"/>
      <c r="N68" s="63"/>
      <c r="O68" s="63"/>
      <c r="P68" s="63"/>
      <c r="Q68" s="63"/>
      <c r="R68" s="63"/>
      <c r="S68" s="63"/>
      <c r="T68" s="63"/>
    </row>
    <row r="69">
      <c r="A69" s="68">
        <f>A67+1</f>
        <v>32</v>
      </c>
      <c r="B69" s="69" t="s">
        <v>112</v>
      </c>
      <c r="C69" s="12"/>
      <c r="D69" s="70" t="s">
        <v>113</v>
      </c>
      <c r="E69" s="70" t="s">
        <v>114</v>
      </c>
      <c r="F69" s="70" t="s">
        <v>33</v>
      </c>
      <c r="G69" s="71"/>
      <c r="H69" s="71"/>
      <c r="I69" s="72"/>
      <c r="J69" s="81"/>
      <c r="K69" s="74"/>
      <c r="L69" s="82"/>
      <c r="M69" s="63"/>
      <c r="N69" s="63"/>
      <c r="O69" s="63"/>
      <c r="P69" s="63"/>
      <c r="Q69" s="63"/>
      <c r="R69" s="63"/>
      <c r="S69" s="63"/>
      <c r="T69" s="63"/>
    </row>
    <row r="70">
      <c r="A70" s="18"/>
      <c r="B70" s="74"/>
      <c r="C70" s="20"/>
      <c r="D70" s="75">
        <v>4.98</v>
      </c>
      <c r="E70" s="75"/>
      <c r="F70" s="84"/>
      <c r="G70" s="76">
        <f>SUM(D70,E70,F70)</f>
        <v>4.98</v>
      </c>
      <c r="H70" s="77">
        <f>AVERAGE(D70,E70,F70)</f>
        <v>4.98</v>
      </c>
      <c r="I70" s="72"/>
      <c r="J70" s="78">
        <v>2.0</v>
      </c>
      <c r="K70" s="79"/>
      <c r="L70" s="80">
        <f>H70*J70</f>
        <v>9.96</v>
      </c>
      <c r="M70" s="63"/>
      <c r="N70" s="63"/>
      <c r="O70" s="63"/>
      <c r="P70" s="63"/>
      <c r="Q70" s="63"/>
      <c r="R70" s="63"/>
      <c r="S70" s="63"/>
      <c r="T70" s="63"/>
    </row>
    <row r="71">
      <c r="A71" s="68">
        <f>A69+1</f>
        <v>33</v>
      </c>
      <c r="B71" s="69" t="s">
        <v>115</v>
      </c>
      <c r="C71" s="12"/>
      <c r="D71" s="70" t="s">
        <v>116</v>
      </c>
      <c r="E71" s="70" t="s">
        <v>117</v>
      </c>
      <c r="F71" s="70" t="s">
        <v>33</v>
      </c>
      <c r="G71" s="71"/>
      <c r="H71" s="71"/>
      <c r="I71" s="72"/>
      <c r="J71" s="81"/>
      <c r="K71" s="74"/>
      <c r="L71" s="82"/>
      <c r="M71" s="63"/>
      <c r="N71" s="63"/>
      <c r="O71" s="63"/>
      <c r="P71" s="63"/>
      <c r="Q71" s="63"/>
      <c r="R71" s="63"/>
      <c r="S71" s="63"/>
      <c r="T71" s="63"/>
    </row>
    <row r="72">
      <c r="A72" s="18"/>
      <c r="B72" s="74"/>
      <c r="C72" s="20"/>
      <c r="D72" s="75">
        <v>2.29</v>
      </c>
      <c r="E72" s="75">
        <v>5.39</v>
      </c>
      <c r="F72" s="84"/>
      <c r="G72" s="76">
        <f>SUM(D72,E72,F72)</f>
        <v>7.68</v>
      </c>
      <c r="H72" s="77">
        <f>AVERAGE(D72,E72,F72)</f>
        <v>3.84</v>
      </c>
      <c r="I72" s="72"/>
      <c r="J72" s="78">
        <v>10.0</v>
      </c>
      <c r="K72" s="79"/>
      <c r="L72" s="80">
        <f>H72*J72</f>
        <v>38.4</v>
      </c>
      <c r="M72" s="63"/>
      <c r="N72" s="63"/>
      <c r="O72" s="63"/>
      <c r="P72" s="63"/>
      <c r="Q72" s="63"/>
      <c r="R72" s="63"/>
      <c r="S72" s="63"/>
      <c r="T72" s="63"/>
    </row>
    <row r="73">
      <c r="A73" s="68">
        <f>A71+1</f>
        <v>34</v>
      </c>
      <c r="B73" s="69" t="s">
        <v>119</v>
      </c>
      <c r="C73" s="12"/>
      <c r="D73" s="83" t="s">
        <v>151</v>
      </c>
      <c r="E73" s="83" t="s">
        <v>152</v>
      </c>
      <c r="F73" s="70" t="s">
        <v>33</v>
      </c>
      <c r="G73" s="71"/>
      <c r="H73" s="71"/>
      <c r="I73" s="72"/>
      <c r="J73" s="81"/>
      <c r="K73" s="74"/>
      <c r="L73" s="82"/>
      <c r="M73" s="63"/>
      <c r="N73" s="63"/>
      <c r="O73" s="63"/>
      <c r="P73" s="63"/>
      <c r="Q73" s="63"/>
      <c r="R73" s="63"/>
      <c r="S73" s="63"/>
      <c r="T73" s="63"/>
    </row>
    <row r="74">
      <c r="A74" s="18"/>
      <c r="B74" s="74"/>
      <c r="C74" s="20"/>
      <c r="D74" s="75">
        <v>16.9</v>
      </c>
      <c r="E74" s="75">
        <v>16.9</v>
      </c>
      <c r="F74" s="84"/>
      <c r="G74" s="76">
        <f>SUM(D74,E74,F74)</f>
        <v>33.8</v>
      </c>
      <c r="H74" s="77">
        <f>AVERAGE(D74,E74,F74)</f>
        <v>16.9</v>
      </c>
      <c r="I74" s="72"/>
      <c r="J74" s="78">
        <v>2.0</v>
      </c>
      <c r="K74" s="79"/>
      <c r="L74" s="80">
        <f>H74*J74</f>
        <v>33.8</v>
      </c>
      <c r="M74" s="63"/>
      <c r="N74" s="63"/>
      <c r="O74" s="63"/>
      <c r="P74" s="63"/>
      <c r="Q74" s="63"/>
      <c r="R74" s="63"/>
      <c r="S74" s="63"/>
      <c r="T74" s="63"/>
    </row>
    <row r="75">
      <c r="A75" s="68">
        <f>A73+1</f>
        <v>35</v>
      </c>
      <c r="B75" s="69" t="s">
        <v>122</v>
      </c>
      <c r="C75" s="12"/>
      <c r="D75" s="70" t="s">
        <v>123</v>
      </c>
      <c r="E75" s="70" t="s">
        <v>124</v>
      </c>
      <c r="F75" s="70" t="s">
        <v>33</v>
      </c>
      <c r="G75" s="71"/>
      <c r="H75" s="71"/>
      <c r="I75" s="72"/>
      <c r="J75" s="81"/>
      <c r="K75" s="74"/>
      <c r="L75" s="82"/>
      <c r="M75" s="63"/>
      <c r="N75" s="63"/>
      <c r="O75" s="63"/>
      <c r="P75" s="63"/>
      <c r="Q75" s="63"/>
      <c r="R75" s="63"/>
      <c r="S75" s="63"/>
      <c r="T75" s="63"/>
    </row>
    <row r="76">
      <c r="A76" s="18"/>
      <c r="B76" s="74"/>
      <c r="C76" s="20"/>
      <c r="D76" s="75">
        <v>4.9</v>
      </c>
      <c r="E76" s="75">
        <v>5.1</v>
      </c>
      <c r="F76" s="84"/>
      <c r="G76" s="76">
        <f>SUM(D76,E76,F76)</f>
        <v>10</v>
      </c>
      <c r="H76" s="77">
        <f>AVERAGE(D76,E76,F76)</f>
        <v>5</v>
      </c>
      <c r="I76" s="85"/>
      <c r="J76" s="78">
        <v>1.0</v>
      </c>
      <c r="K76" s="79"/>
      <c r="L76" s="80">
        <f>H76*J76</f>
        <v>5</v>
      </c>
      <c r="M76" s="63"/>
      <c r="N76" s="63"/>
      <c r="O76" s="63"/>
      <c r="P76" s="63"/>
      <c r="Q76" s="63"/>
      <c r="R76" s="63"/>
      <c r="S76" s="63"/>
      <c r="T76" s="63"/>
    </row>
    <row r="77">
      <c r="A77" s="86" t="s">
        <v>106</v>
      </c>
      <c r="B77" s="74"/>
      <c r="C77" s="74"/>
      <c r="D77" s="74"/>
      <c r="E77" s="74"/>
      <c r="F77" s="74"/>
      <c r="G77" s="82"/>
      <c r="H77" s="87">
        <f>SUM(H68:H76)</f>
        <v>35.52</v>
      </c>
      <c r="I77" s="85"/>
      <c r="J77" s="88" t="s">
        <v>6</v>
      </c>
      <c r="K77" s="20"/>
      <c r="L77" s="89">
        <f>SUM(L68:L76)</f>
        <v>101.56</v>
      </c>
      <c r="M77" s="63"/>
      <c r="N77" s="63"/>
      <c r="O77" s="63"/>
      <c r="P77" s="63"/>
      <c r="Q77" s="63"/>
      <c r="R77" s="63"/>
      <c r="S77" s="63"/>
      <c r="T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  <c r="P78" s="63"/>
      <c r="Q78" s="63"/>
      <c r="R78" s="63"/>
      <c r="S78" s="63"/>
      <c r="T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  <c r="P79" s="63"/>
      <c r="Q79" s="63"/>
      <c r="R79" s="63"/>
      <c r="S79" s="63"/>
      <c r="T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374.195</v>
      </c>
      <c r="I80" s="63"/>
      <c r="J80" s="72"/>
      <c r="K80" s="97" t="s">
        <v>6</v>
      </c>
      <c r="L80" s="89">
        <f>L55+L65+L77</f>
        <v>1127.81</v>
      </c>
      <c r="M80" s="63"/>
      <c r="N80" s="63"/>
      <c r="O80" s="63"/>
      <c r="P80" s="63"/>
      <c r="Q80" s="63"/>
      <c r="R80" s="63"/>
      <c r="S80" s="63"/>
      <c r="T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  <c r="P81" s="63"/>
      <c r="Q81" s="63"/>
      <c r="R81" s="63"/>
      <c r="S81" s="63"/>
      <c r="T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  <c r="O82" s="63"/>
      <c r="P82" s="63"/>
      <c r="Q82" s="63"/>
      <c r="R82" s="63"/>
      <c r="S82" s="63"/>
      <c r="T82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</row>
    <row r="2">
      <c r="A2" s="64" t="s">
        <v>153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126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</row>
    <row r="4">
      <c r="A4" s="18"/>
      <c r="B4" s="74"/>
      <c r="C4" s="20"/>
      <c r="D4" s="75">
        <v>33.0</v>
      </c>
      <c r="E4" s="75">
        <v>31.6</v>
      </c>
      <c r="F4" s="75">
        <v>33.5</v>
      </c>
      <c r="G4" s="76">
        <f>SUM(D4,E4,F4)</f>
        <v>98.1</v>
      </c>
      <c r="H4" s="77">
        <f>AVERAGE(D4,E4,F4)</f>
        <v>32.7</v>
      </c>
      <c r="I4" s="72"/>
      <c r="J4" s="78">
        <v>3.0</v>
      </c>
      <c r="K4" s="79" t="s">
        <v>11</v>
      </c>
      <c r="L4" s="80">
        <f>H4*J4</f>
        <v>98.1</v>
      </c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127</v>
      </c>
      <c r="G5" s="71"/>
      <c r="H5" s="71"/>
      <c r="I5" s="72"/>
      <c r="J5" s="81"/>
      <c r="K5" s="74"/>
      <c r="L5" s="82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</row>
    <row r="6">
      <c r="A6" s="18"/>
      <c r="B6" s="74"/>
      <c r="C6" s="20"/>
      <c r="D6" s="75">
        <v>5.6</v>
      </c>
      <c r="E6" s="75">
        <v>5.99</v>
      </c>
      <c r="F6" s="75">
        <v>5.15</v>
      </c>
      <c r="G6" s="76">
        <f>SUM(D6,E6,F6)</f>
        <v>16.74</v>
      </c>
      <c r="H6" s="77">
        <f>AVERAGE(D6,E6,F6)</f>
        <v>5.58</v>
      </c>
      <c r="I6" s="72"/>
      <c r="J6" s="78">
        <v>4.0</v>
      </c>
      <c r="K6" s="79"/>
      <c r="L6" s="80">
        <f>H6*J6</f>
        <v>22.32</v>
      </c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</row>
    <row r="7">
      <c r="A7" s="68">
        <f>A5+1</f>
        <v>3</v>
      </c>
      <c r="B7" s="69" t="s">
        <v>15</v>
      </c>
      <c r="C7" s="12"/>
      <c r="D7" s="70" t="s">
        <v>16</v>
      </c>
      <c r="E7" s="70" t="s">
        <v>129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</row>
    <row r="8">
      <c r="A8" s="18"/>
      <c r="B8" s="74"/>
      <c r="C8" s="20"/>
      <c r="D8" s="75">
        <v>16.38</v>
      </c>
      <c r="E8" s="75">
        <v>16.38</v>
      </c>
      <c r="F8" s="75"/>
      <c r="G8" s="76">
        <f>SUM(D8,E8,F8)</f>
        <v>32.76</v>
      </c>
      <c r="H8" s="77">
        <f>AVERAGE(D8,E8,F8)</f>
        <v>16.38</v>
      </c>
      <c r="I8" s="72"/>
      <c r="J8" s="78">
        <v>2.0</v>
      </c>
      <c r="K8" s="79"/>
      <c r="L8" s="80">
        <f>H8*J8</f>
        <v>32.76</v>
      </c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</row>
    <row r="9">
      <c r="A9" s="68">
        <f>A7+1</f>
        <v>4</v>
      </c>
      <c r="B9" s="69" t="s">
        <v>19</v>
      </c>
      <c r="C9" s="12"/>
      <c r="D9" s="70" t="s">
        <v>20</v>
      </c>
      <c r="E9" s="70" t="s">
        <v>21</v>
      </c>
      <c r="F9" s="70" t="s">
        <v>130</v>
      </c>
      <c r="G9" s="71"/>
      <c r="H9" s="71"/>
      <c r="I9" s="72"/>
      <c r="J9" s="81"/>
      <c r="K9" s="74"/>
      <c r="L9" s="82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</row>
    <row r="10">
      <c r="A10" s="18"/>
      <c r="B10" s="74"/>
      <c r="C10" s="20"/>
      <c r="D10" s="75">
        <v>24.99</v>
      </c>
      <c r="E10" s="75">
        <v>22.6</v>
      </c>
      <c r="F10" s="75"/>
      <c r="G10" s="76">
        <f>SUM(D10,E10,F10)</f>
        <v>47.59</v>
      </c>
      <c r="H10" s="77">
        <f>AVERAGE(D10,E10,F10)</f>
        <v>23.795</v>
      </c>
      <c r="I10" s="72"/>
      <c r="J10" s="78">
        <v>3.0</v>
      </c>
      <c r="K10" s="79"/>
      <c r="L10" s="80">
        <f>H10*J10</f>
        <v>71.385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>
      <c r="A11" s="68">
        <f>A9+1</f>
        <v>5</v>
      </c>
      <c r="B11" s="69" t="s">
        <v>23</v>
      </c>
      <c r="C11" s="12"/>
      <c r="D11" s="70" t="s">
        <v>24</v>
      </c>
      <c r="E11" s="70" t="s">
        <v>25</v>
      </c>
      <c r="F11" s="70" t="s">
        <v>26</v>
      </c>
      <c r="G11" s="71"/>
      <c r="H11" s="71"/>
      <c r="I11" s="72"/>
      <c r="J11" s="81"/>
      <c r="K11" s="74"/>
      <c r="L11" s="82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</row>
    <row r="12">
      <c r="A12" s="18"/>
      <c r="B12" s="74"/>
      <c r="C12" s="20"/>
      <c r="D12" s="75">
        <v>5.4</v>
      </c>
      <c r="E12" s="75">
        <v>5.89</v>
      </c>
      <c r="F12" s="75"/>
      <c r="G12" s="76">
        <f>SUM(D12,E12,F12)</f>
        <v>11.29</v>
      </c>
      <c r="H12" s="77">
        <f>AVERAGE(D12,E12,F12)</f>
        <v>5.645</v>
      </c>
      <c r="I12" s="72"/>
      <c r="J12" s="78">
        <v>3.0</v>
      </c>
      <c r="K12" s="79"/>
      <c r="L12" s="80">
        <f>H12*J12</f>
        <v>16.935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</row>
    <row r="13">
      <c r="A13" s="68">
        <f>A11+1</f>
        <v>6</v>
      </c>
      <c r="B13" s="69" t="s">
        <v>27</v>
      </c>
      <c r="C13" s="12"/>
      <c r="D13" s="70" t="s">
        <v>154</v>
      </c>
      <c r="E13" s="70" t="s">
        <v>133</v>
      </c>
      <c r="F13" s="70" t="s">
        <v>30</v>
      </c>
      <c r="G13" s="71"/>
      <c r="H13" s="71"/>
      <c r="I13" s="72"/>
      <c r="J13" s="81"/>
      <c r="K13" s="74"/>
      <c r="L13" s="82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</row>
    <row r="14">
      <c r="A14" s="18"/>
      <c r="B14" s="74"/>
      <c r="C14" s="20"/>
      <c r="D14" s="75"/>
      <c r="E14" s="75"/>
      <c r="F14" s="75">
        <v>8.99</v>
      </c>
      <c r="G14" s="76">
        <f>SUM(D14,E14,F14)</f>
        <v>8.99</v>
      </c>
      <c r="H14" s="77">
        <f>AVERAGE(D14,E14,F14)</f>
        <v>8.99</v>
      </c>
      <c r="I14" s="72"/>
      <c r="J14" s="78">
        <v>1.0</v>
      </c>
      <c r="K14" s="79"/>
      <c r="L14" s="80">
        <f>H14*J14</f>
        <v>8.99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</row>
    <row r="15">
      <c r="A15" s="68">
        <f>A13+1</f>
        <v>7</v>
      </c>
      <c r="B15" s="69" t="s">
        <v>31</v>
      </c>
      <c r="C15" s="12"/>
      <c r="D15" s="70" t="s">
        <v>32</v>
      </c>
      <c r="E15" s="70" t="s">
        <v>33</v>
      </c>
      <c r="F15" s="70" t="s">
        <v>33</v>
      </c>
      <c r="G15" s="71"/>
      <c r="H15" s="71"/>
      <c r="I15" s="72"/>
      <c r="J15" s="81"/>
      <c r="K15" s="74"/>
      <c r="L15" s="82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</row>
    <row r="16">
      <c r="A16" s="18"/>
      <c r="B16" s="74"/>
      <c r="C16" s="20"/>
      <c r="D16" s="75">
        <v>6.8</v>
      </c>
      <c r="E16" s="84"/>
      <c r="F16" s="84"/>
      <c r="G16" s="76">
        <f>SUM(D16,E16,F16)</f>
        <v>6.8</v>
      </c>
      <c r="H16" s="77">
        <f>AVERAGE(D16,E16,F16)</f>
        <v>6.8</v>
      </c>
      <c r="I16" s="72"/>
      <c r="J16" s="78">
        <v>4.0</v>
      </c>
      <c r="K16" s="79"/>
      <c r="L16" s="80">
        <f>H16*J16</f>
        <v>27.2</v>
      </c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</row>
    <row r="17">
      <c r="A17" s="68">
        <f>A15+1</f>
        <v>8</v>
      </c>
      <c r="B17" s="69" t="s">
        <v>34</v>
      </c>
      <c r="C17" s="12"/>
      <c r="D17" s="70" t="s">
        <v>35</v>
      </c>
      <c r="E17" s="70" t="s">
        <v>33</v>
      </c>
      <c r="F17" s="70" t="s">
        <v>33</v>
      </c>
      <c r="G17" s="71"/>
      <c r="H17" s="71"/>
      <c r="I17" s="72"/>
      <c r="J17" s="81"/>
      <c r="K17" s="74"/>
      <c r="L17" s="82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</row>
    <row r="18">
      <c r="A18" s="18"/>
      <c r="B18" s="74"/>
      <c r="C18" s="20"/>
      <c r="D18" s="75">
        <v>4.99</v>
      </c>
      <c r="E18" s="84"/>
      <c r="F18" s="84"/>
      <c r="G18" s="76">
        <f>SUM(D18,E18,F18)</f>
        <v>4.99</v>
      </c>
      <c r="H18" s="77">
        <f>AVERAGE(D18,E18,F18)</f>
        <v>4.99</v>
      </c>
      <c r="I18" s="72"/>
      <c r="J18" s="78">
        <v>1.0</v>
      </c>
      <c r="K18" s="79"/>
      <c r="L18" s="80">
        <f>H18*J18</f>
        <v>4.99</v>
      </c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</row>
    <row r="19">
      <c r="A19" s="68">
        <f>A17+1</f>
        <v>9</v>
      </c>
      <c r="B19" s="69" t="s">
        <v>36</v>
      </c>
      <c r="C19" s="12"/>
      <c r="D19" s="70" t="s">
        <v>37</v>
      </c>
      <c r="E19" s="70" t="s">
        <v>33</v>
      </c>
      <c r="F19" s="70" t="s">
        <v>33</v>
      </c>
      <c r="G19" s="71"/>
      <c r="H19" s="71"/>
      <c r="I19" s="72"/>
      <c r="J19" s="81"/>
      <c r="K19" s="74"/>
      <c r="L19" s="82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</row>
    <row r="20">
      <c r="A20" s="18"/>
      <c r="B20" s="74"/>
      <c r="C20" s="20"/>
      <c r="D20" s="75">
        <v>8.9</v>
      </c>
      <c r="E20" s="84"/>
      <c r="F20" s="84"/>
      <c r="G20" s="76">
        <f>SUM(D20,E20,F20)</f>
        <v>8.9</v>
      </c>
      <c r="H20" s="77">
        <f>AVERAGE(D20,E20,F20)</f>
        <v>8.9</v>
      </c>
      <c r="I20" s="72"/>
      <c r="J20" s="78">
        <v>9.0</v>
      </c>
      <c r="K20" s="79"/>
      <c r="L20" s="80">
        <f>H20*J20</f>
        <v>80.1</v>
      </c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</row>
    <row r="21">
      <c r="A21" s="68">
        <f>A19+1</f>
        <v>10</v>
      </c>
      <c r="B21" s="69" t="s">
        <v>38</v>
      </c>
      <c r="C21" s="12"/>
      <c r="D21" s="70" t="s">
        <v>39</v>
      </c>
      <c r="E21" s="70" t="s">
        <v>33</v>
      </c>
      <c r="F21" s="70" t="s">
        <v>33</v>
      </c>
      <c r="G21" s="71"/>
      <c r="H21" s="71"/>
      <c r="I21" s="72"/>
      <c r="J21" s="81"/>
      <c r="K21" s="74"/>
      <c r="L21" s="82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</row>
    <row r="22">
      <c r="A22" s="18"/>
      <c r="B22" s="74"/>
      <c r="C22" s="20"/>
      <c r="D22" s="75">
        <v>31.99</v>
      </c>
      <c r="E22" s="84"/>
      <c r="F22" s="84"/>
      <c r="G22" s="76">
        <f>SUM(D22,E22,F22)</f>
        <v>31.99</v>
      </c>
      <c r="H22" s="77">
        <f>AVERAGE(D22,E22,F22)</f>
        <v>31.99</v>
      </c>
      <c r="I22" s="72"/>
      <c r="J22" s="78">
        <v>0.2</v>
      </c>
      <c r="K22" s="79"/>
      <c r="L22" s="80">
        <f>H22*J22</f>
        <v>6.398</v>
      </c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</row>
    <row r="23">
      <c r="A23" s="68">
        <f>A21+1</f>
        <v>11</v>
      </c>
      <c r="B23" s="69" t="s">
        <v>40</v>
      </c>
      <c r="C23" s="12"/>
      <c r="D23" s="70" t="s">
        <v>41</v>
      </c>
      <c r="E23" s="70" t="s">
        <v>42</v>
      </c>
      <c r="F23" s="70" t="s">
        <v>33</v>
      </c>
      <c r="G23" s="71"/>
      <c r="H23" s="71"/>
      <c r="I23" s="72"/>
      <c r="J23" s="81"/>
      <c r="K23" s="74"/>
      <c r="L23" s="82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</row>
    <row r="24">
      <c r="A24" s="18"/>
      <c r="B24" s="74"/>
      <c r="C24" s="20"/>
      <c r="D24" s="75">
        <v>10.89</v>
      </c>
      <c r="E24" s="75"/>
      <c r="F24" s="84"/>
      <c r="G24" s="76">
        <f>SUM(D24,E24,F24)</f>
        <v>10.89</v>
      </c>
      <c r="H24" s="77">
        <f>AVERAGE(D24,E24,F24)</f>
        <v>10.89</v>
      </c>
      <c r="I24" s="72"/>
      <c r="J24" s="78">
        <v>3.0</v>
      </c>
      <c r="K24" s="79"/>
      <c r="L24" s="80">
        <f>H24*J24</f>
        <v>32.67</v>
      </c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</row>
    <row r="25">
      <c r="A25" s="68">
        <f>A23+1</f>
        <v>12</v>
      </c>
      <c r="B25" s="69" t="s">
        <v>43</v>
      </c>
      <c r="C25" s="12"/>
      <c r="D25" s="70" t="s">
        <v>44</v>
      </c>
      <c r="E25" s="70" t="s">
        <v>45</v>
      </c>
      <c r="F25" s="70" t="s">
        <v>46</v>
      </c>
      <c r="G25" s="71"/>
      <c r="H25" s="71"/>
      <c r="I25" s="72"/>
      <c r="J25" s="81"/>
      <c r="K25" s="74"/>
      <c r="L25" s="82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</row>
    <row r="26">
      <c r="A26" s="18"/>
      <c r="B26" s="74"/>
      <c r="C26" s="20"/>
      <c r="D26" s="75">
        <v>4.99</v>
      </c>
      <c r="E26" s="75">
        <v>5.1</v>
      </c>
      <c r="F26" s="75"/>
      <c r="G26" s="76">
        <f>SUM(D26,E26,F26)</f>
        <v>10.09</v>
      </c>
      <c r="H26" s="77">
        <f>AVERAGE(D26,E26,F26)</f>
        <v>5.045</v>
      </c>
      <c r="I26" s="72"/>
      <c r="J26" s="78">
        <v>4.0</v>
      </c>
      <c r="K26" s="79"/>
      <c r="L26" s="80">
        <f>H26*J26</f>
        <v>20.18</v>
      </c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</row>
    <row r="27">
      <c r="A27" s="68">
        <f>A25+1</f>
        <v>13</v>
      </c>
      <c r="B27" s="69" t="s">
        <v>47</v>
      </c>
      <c r="C27" s="12"/>
      <c r="D27" s="70" t="s">
        <v>48</v>
      </c>
      <c r="E27" s="70" t="s">
        <v>90</v>
      </c>
      <c r="F27" s="70" t="s">
        <v>50</v>
      </c>
      <c r="G27" s="71"/>
      <c r="H27" s="71"/>
      <c r="I27" s="72"/>
      <c r="J27" s="81"/>
      <c r="K27" s="74"/>
      <c r="L27" s="82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</row>
    <row r="28">
      <c r="A28" s="18"/>
      <c r="B28" s="74"/>
      <c r="C28" s="20"/>
      <c r="D28" s="75"/>
      <c r="E28" s="75">
        <v>2.85</v>
      </c>
      <c r="F28" s="75">
        <v>1.99</v>
      </c>
      <c r="G28" s="76">
        <f>SUM(D28,E28,F28)</f>
        <v>4.84</v>
      </c>
      <c r="H28" s="77">
        <f>AVERAGE(D28,E28,F28)</f>
        <v>2.42</v>
      </c>
      <c r="I28" s="72"/>
      <c r="J28" s="78">
        <v>2.0</v>
      </c>
      <c r="K28" s="79"/>
      <c r="L28" s="80">
        <f>H28*J28</f>
        <v>4.84</v>
      </c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</row>
    <row r="29">
      <c r="A29" s="68">
        <f>A27+1</f>
        <v>14</v>
      </c>
      <c r="B29" s="69" t="s">
        <v>51</v>
      </c>
      <c r="C29" s="12"/>
      <c r="D29" s="70" t="s">
        <v>52</v>
      </c>
      <c r="E29" s="70" t="s">
        <v>33</v>
      </c>
      <c r="F29" s="70" t="s">
        <v>33</v>
      </c>
      <c r="G29" s="71"/>
      <c r="H29" s="71"/>
      <c r="I29" s="72"/>
      <c r="J29" s="81"/>
      <c r="K29" s="74"/>
      <c r="L29" s="82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</row>
    <row r="30">
      <c r="A30" s="18"/>
      <c r="B30" s="74"/>
      <c r="C30" s="20"/>
      <c r="D30" s="75">
        <v>14.88</v>
      </c>
      <c r="E30" s="84"/>
      <c r="F30" s="84"/>
      <c r="G30" s="76">
        <f>SUM(D30,E30,F30)</f>
        <v>14.88</v>
      </c>
      <c r="H30" s="77">
        <f>AVERAGE(D30,E30,F30)</f>
        <v>14.88</v>
      </c>
      <c r="I30" s="72"/>
      <c r="J30" s="78">
        <v>6.0</v>
      </c>
      <c r="K30" s="79"/>
      <c r="L30" s="80">
        <f>H30*J30</f>
        <v>89.28</v>
      </c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</row>
    <row r="31">
      <c r="A31" s="68">
        <f>A29+1</f>
        <v>15</v>
      </c>
      <c r="B31" s="69" t="s">
        <v>53</v>
      </c>
      <c r="C31" s="12"/>
      <c r="D31" s="70" t="s">
        <v>54</v>
      </c>
      <c r="E31" s="70" t="s">
        <v>55</v>
      </c>
      <c r="F31" s="70" t="s">
        <v>33</v>
      </c>
      <c r="G31" s="71"/>
      <c r="H31" s="71"/>
      <c r="I31" s="72"/>
      <c r="J31" s="81"/>
      <c r="K31" s="74"/>
      <c r="L31" s="82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</row>
    <row r="32">
      <c r="A32" s="18"/>
      <c r="B32" s="74"/>
      <c r="C32" s="20"/>
      <c r="D32" s="75">
        <v>4.15</v>
      </c>
      <c r="E32" s="75">
        <v>4.15</v>
      </c>
      <c r="F32" s="84"/>
      <c r="G32" s="76">
        <f>SUM(D32,E32,F32)</f>
        <v>8.3</v>
      </c>
      <c r="H32" s="77">
        <f>AVERAGE(D32,E32,F32)</f>
        <v>4.15</v>
      </c>
      <c r="I32" s="72"/>
      <c r="J32" s="78">
        <v>7.5</v>
      </c>
      <c r="K32" s="79"/>
      <c r="L32" s="80">
        <f>H32*J32</f>
        <v>31.125</v>
      </c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</row>
    <row r="33">
      <c r="A33" s="68">
        <f>A31+1</f>
        <v>16</v>
      </c>
      <c r="B33" s="69" t="s">
        <v>56</v>
      </c>
      <c r="C33" s="12"/>
      <c r="D33" s="70" t="s">
        <v>57</v>
      </c>
      <c r="E33" s="70" t="s">
        <v>134</v>
      </c>
      <c r="F33" s="70" t="s">
        <v>59</v>
      </c>
      <c r="G33" s="71"/>
      <c r="H33" s="71"/>
      <c r="I33" s="72"/>
      <c r="J33" s="81"/>
      <c r="K33" s="74"/>
      <c r="L33" s="82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</row>
    <row r="34">
      <c r="A34" s="18"/>
      <c r="B34" s="74"/>
      <c r="C34" s="20"/>
      <c r="D34" s="75">
        <v>7.89</v>
      </c>
      <c r="E34" s="75"/>
      <c r="F34" s="75"/>
      <c r="G34" s="76">
        <f>SUM(D34,E34,F34)</f>
        <v>7.89</v>
      </c>
      <c r="H34" s="77">
        <f>AVERAGE(D34,E34,F34)</f>
        <v>7.89</v>
      </c>
      <c r="I34" s="72"/>
      <c r="J34" s="78">
        <v>5.0</v>
      </c>
      <c r="K34" s="79"/>
      <c r="L34" s="80">
        <f>H34*J34</f>
        <v>39.45</v>
      </c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</row>
    <row r="35">
      <c r="A35" s="68">
        <f>A33+1</f>
        <v>17</v>
      </c>
      <c r="B35" s="69" t="s">
        <v>60</v>
      </c>
      <c r="C35" s="12"/>
      <c r="D35" s="70" t="s">
        <v>61</v>
      </c>
      <c r="E35" s="83" t="s">
        <v>62</v>
      </c>
      <c r="F35" s="70" t="s">
        <v>63</v>
      </c>
      <c r="G35" s="71"/>
      <c r="H35" s="71"/>
      <c r="I35" s="72"/>
      <c r="J35" s="81"/>
      <c r="K35" s="74"/>
      <c r="L35" s="82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</row>
    <row r="36">
      <c r="A36" s="18"/>
      <c r="B36" s="74"/>
      <c r="C36" s="20"/>
      <c r="D36" s="75">
        <v>5.8</v>
      </c>
      <c r="E36" s="75">
        <v>5.15</v>
      </c>
      <c r="F36" s="75">
        <v>5.15</v>
      </c>
      <c r="G36" s="76">
        <f>SUM(D36,E36,F36)</f>
        <v>16.1</v>
      </c>
      <c r="H36" s="77">
        <f>AVERAGE(D36,E36,F36)</f>
        <v>5.366666667</v>
      </c>
      <c r="I36" s="72"/>
      <c r="J36" s="78">
        <v>7.5</v>
      </c>
      <c r="K36" s="79"/>
      <c r="L36" s="80">
        <f>H36*J36</f>
        <v>40.25</v>
      </c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</row>
    <row r="37">
      <c r="A37" s="68">
        <f>A35+1</f>
        <v>18</v>
      </c>
      <c r="B37" s="69" t="s">
        <v>64</v>
      </c>
      <c r="C37" s="12"/>
      <c r="D37" s="70" t="s">
        <v>61</v>
      </c>
      <c r="E37" s="70" t="s">
        <v>135</v>
      </c>
      <c r="F37" s="70" t="s">
        <v>63</v>
      </c>
      <c r="G37" s="71"/>
      <c r="H37" s="71"/>
      <c r="I37" s="72"/>
      <c r="J37" s="81"/>
      <c r="K37" s="74"/>
      <c r="L37" s="82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</row>
    <row r="38">
      <c r="A38" s="18"/>
      <c r="B38" s="74"/>
      <c r="C38" s="20"/>
      <c r="D38" s="75">
        <v>17.8</v>
      </c>
      <c r="E38" s="75">
        <v>15.9</v>
      </c>
      <c r="F38" s="75"/>
      <c r="G38" s="76">
        <f>SUM(D38,E38,F38)</f>
        <v>33.7</v>
      </c>
      <c r="H38" s="77">
        <f>AVERAGE(D38,E38,F38)</f>
        <v>16.85</v>
      </c>
      <c r="I38" s="72"/>
      <c r="J38" s="78">
        <v>3.0</v>
      </c>
      <c r="K38" s="79"/>
      <c r="L38" s="80">
        <f>H38*J38</f>
        <v>50.55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</row>
    <row r="39">
      <c r="A39" s="68">
        <f>A37+1</f>
        <v>19</v>
      </c>
      <c r="B39" s="69" t="s">
        <v>66</v>
      </c>
      <c r="C39" s="12"/>
      <c r="D39" s="70" t="s">
        <v>48</v>
      </c>
      <c r="E39" s="70" t="s">
        <v>136</v>
      </c>
      <c r="F39" s="70" t="s">
        <v>26</v>
      </c>
      <c r="G39" s="71"/>
      <c r="H39" s="71"/>
      <c r="I39" s="72"/>
      <c r="J39" s="81"/>
      <c r="K39" s="74"/>
      <c r="L39" s="82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</row>
    <row r="40">
      <c r="A40" s="18"/>
      <c r="B40" s="74"/>
      <c r="C40" s="20"/>
      <c r="D40" s="75"/>
      <c r="E40" s="75">
        <v>5.5</v>
      </c>
      <c r="F40" s="75">
        <v>5.48</v>
      </c>
      <c r="G40" s="76">
        <f>SUM(D40,E40,F40)</f>
        <v>10.98</v>
      </c>
      <c r="H40" s="77">
        <f>AVERAGE(D40,E40,F40)</f>
        <v>5.49</v>
      </c>
      <c r="I40" s="72"/>
      <c r="J40" s="78">
        <v>4.0</v>
      </c>
      <c r="K40" s="79"/>
      <c r="L40" s="80">
        <f>H40*J40</f>
        <v>21.96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</row>
    <row r="41">
      <c r="A41" s="68">
        <f>A39+1</f>
        <v>20</v>
      </c>
      <c r="B41" s="69" t="s">
        <v>68</v>
      </c>
      <c r="C41" s="12"/>
      <c r="D41" s="70" t="s">
        <v>137</v>
      </c>
      <c r="E41" s="70" t="s">
        <v>70</v>
      </c>
      <c r="F41" s="70" t="s">
        <v>71</v>
      </c>
      <c r="G41" s="71"/>
      <c r="H41" s="71"/>
      <c r="I41" s="72"/>
      <c r="J41" s="81"/>
      <c r="K41" s="74"/>
      <c r="L41" s="82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</row>
    <row r="42">
      <c r="A42" s="18"/>
      <c r="B42" s="74"/>
      <c r="C42" s="20"/>
      <c r="D42" s="75"/>
      <c r="E42" s="75"/>
      <c r="F42" s="75">
        <v>2.88</v>
      </c>
      <c r="G42" s="76">
        <f>SUM(D42,E42,F42)</f>
        <v>2.88</v>
      </c>
      <c r="H42" s="77">
        <f>AVERAGE(D42,E42,F42)</f>
        <v>2.88</v>
      </c>
      <c r="I42" s="72"/>
      <c r="J42" s="78">
        <v>4.0</v>
      </c>
      <c r="K42" s="79"/>
      <c r="L42" s="80">
        <f>H42*J42</f>
        <v>11.52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</row>
    <row r="43">
      <c r="A43" s="68">
        <f>A41+1</f>
        <v>21</v>
      </c>
      <c r="B43" s="69" t="s">
        <v>72</v>
      </c>
      <c r="C43" s="12"/>
      <c r="D43" s="70" t="s">
        <v>73</v>
      </c>
      <c r="E43" s="70" t="s">
        <v>74</v>
      </c>
      <c r="F43" s="70" t="s">
        <v>138</v>
      </c>
      <c r="G43" s="71"/>
      <c r="H43" s="71"/>
      <c r="I43" s="72"/>
      <c r="J43" s="81"/>
      <c r="K43" s="74"/>
      <c r="L43" s="82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</row>
    <row r="44">
      <c r="A44" s="18"/>
      <c r="B44" s="74"/>
      <c r="C44" s="20"/>
      <c r="D44" s="75">
        <v>45.9</v>
      </c>
      <c r="E44" s="75"/>
      <c r="F44" s="75">
        <v>41.9</v>
      </c>
      <c r="G44" s="76">
        <f>SUM(D44,E44,F44)</f>
        <v>87.8</v>
      </c>
      <c r="H44" s="77">
        <f>AVERAGE(D44,E44,F44)</f>
        <v>43.9</v>
      </c>
      <c r="I44" s="72"/>
      <c r="J44" s="78">
        <v>3.0</v>
      </c>
      <c r="K44" s="79"/>
      <c r="L44" s="80">
        <f>H44*J44</f>
        <v>131.7</v>
      </c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</row>
    <row r="45">
      <c r="A45" s="68">
        <f>A43+1</f>
        <v>22</v>
      </c>
      <c r="B45" s="69" t="s">
        <v>76</v>
      </c>
      <c r="C45" s="12"/>
      <c r="D45" s="70" t="s">
        <v>77</v>
      </c>
      <c r="E45" s="70" t="s">
        <v>78</v>
      </c>
      <c r="F45" s="70" t="s">
        <v>139</v>
      </c>
      <c r="G45" s="71"/>
      <c r="H45" s="71"/>
      <c r="I45" s="72"/>
      <c r="J45" s="81"/>
      <c r="K45" s="74"/>
      <c r="L45" s="82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</row>
    <row r="46">
      <c r="A46" s="18"/>
      <c r="B46" s="74"/>
      <c r="C46" s="20"/>
      <c r="D46" s="75">
        <v>38.99</v>
      </c>
      <c r="E46" s="75">
        <v>22.8</v>
      </c>
      <c r="F46" s="75"/>
      <c r="G46" s="76">
        <f>SUM(D46,E46,F46)</f>
        <v>61.79</v>
      </c>
      <c r="H46" s="77">
        <f>AVERAGE(D46,E46,F46)</f>
        <v>30.895</v>
      </c>
      <c r="I46" s="72"/>
      <c r="J46" s="78">
        <v>4.0</v>
      </c>
      <c r="K46" s="79"/>
      <c r="L46" s="80">
        <f>H46*J46</f>
        <v>123.58</v>
      </c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</row>
    <row r="47">
      <c r="A47" s="68">
        <f>A45+1</f>
        <v>23</v>
      </c>
      <c r="B47" s="69" t="s">
        <v>80</v>
      </c>
      <c r="C47" s="12"/>
      <c r="D47" s="70" t="s">
        <v>84</v>
      </c>
      <c r="E47" s="70" t="s">
        <v>82</v>
      </c>
      <c r="F47" s="70" t="s">
        <v>33</v>
      </c>
      <c r="G47" s="71"/>
      <c r="H47" s="71"/>
      <c r="I47" s="72"/>
      <c r="J47" s="81"/>
      <c r="K47" s="74"/>
      <c r="L47" s="82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</row>
    <row r="48">
      <c r="A48" s="18"/>
      <c r="B48" s="74"/>
      <c r="C48" s="20"/>
      <c r="D48" s="75">
        <v>11.9</v>
      </c>
      <c r="E48" s="75">
        <v>12.68</v>
      </c>
      <c r="F48" s="84"/>
      <c r="G48" s="76">
        <f>SUM(D48,E48,F48)</f>
        <v>24.58</v>
      </c>
      <c r="H48" s="77">
        <f>AVERAGE(D48,E48,F48)</f>
        <v>12.29</v>
      </c>
      <c r="I48" s="72"/>
      <c r="J48" s="78">
        <v>5.0</v>
      </c>
      <c r="K48" s="79"/>
      <c r="L48" s="80">
        <f>H48*J48</f>
        <v>61.45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</row>
    <row r="49">
      <c r="A49" s="68">
        <f>A47+1</f>
        <v>24</v>
      </c>
      <c r="B49" s="69" t="s">
        <v>83</v>
      </c>
      <c r="C49" s="12"/>
      <c r="D49" s="70" t="s">
        <v>84</v>
      </c>
      <c r="E49" s="70" t="s">
        <v>82</v>
      </c>
      <c r="F49" s="70" t="s">
        <v>85</v>
      </c>
      <c r="G49" s="71"/>
      <c r="H49" s="71"/>
      <c r="I49" s="72"/>
      <c r="J49" s="81"/>
      <c r="K49" s="74"/>
      <c r="L49" s="82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</row>
    <row r="50">
      <c r="A50" s="18"/>
      <c r="B50" s="74"/>
      <c r="C50" s="20"/>
      <c r="D50" s="75">
        <v>11.68</v>
      </c>
      <c r="E50" s="75"/>
      <c r="F50" s="75">
        <v>12.8</v>
      </c>
      <c r="G50" s="76">
        <f>SUM(D50,E50,F50)</f>
        <v>24.48</v>
      </c>
      <c r="H50" s="77">
        <f>AVERAGE(D50,E50,F50)</f>
        <v>12.24</v>
      </c>
      <c r="I50" s="72"/>
      <c r="J50" s="78">
        <v>0.5</v>
      </c>
      <c r="K50" s="79"/>
      <c r="L50" s="80">
        <f>H50*J50</f>
        <v>6.12</v>
      </c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</row>
    <row r="51">
      <c r="A51" s="68">
        <f>A49+1</f>
        <v>25</v>
      </c>
      <c r="B51" s="69" t="s">
        <v>86</v>
      </c>
      <c r="C51" s="12"/>
      <c r="D51" s="83" t="s">
        <v>84</v>
      </c>
      <c r="E51" s="70" t="s">
        <v>82</v>
      </c>
      <c r="F51" s="70" t="s">
        <v>141</v>
      </c>
      <c r="G51" s="71"/>
      <c r="H51" s="71"/>
      <c r="I51" s="72"/>
      <c r="J51" s="81"/>
      <c r="K51" s="74"/>
      <c r="L51" s="82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</row>
    <row r="52">
      <c r="A52" s="18"/>
      <c r="B52" s="74"/>
      <c r="C52" s="20"/>
      <c r="D52" s="75">
        <v>16.8</v>
      </c>
      <c r="E52" s="75">
        <v>17.99</v>
      </c>
      <c r="F52" s="75"/>
      <c r="G52" s="76">
        <f>SUM(D52,E52,F52)</f>
        <v>34.79</v>
      </c>
      <c r="H52" s="77">
        <f>AVERAGE(D52,E52,F52)</f>
        <v>17.395</v>
      </c>
      <c r="I52" s="72"/>
      <c r="J52" s="78">
        <v>0.3</v>
      </c>
      <c r="K52" s="79"/>
      <c r="L52" s="80">
        <f>H52*J52</f>
        <v>5.2185</v>
      </c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</row>
    <row r="53">
      <c r="A53" s="68">
        <f>A51+1</f>
        <v>26</v>
      </c>
      <c r="B53" s="69" t="s">
        <v>88</v>
      </c>
      <c r="C53" s="12"/>
      <c r="D53" s="70" t="s">
        <v>155</v>
      </c>
      <c r="E53" s="70" t="s">
        <v>90</v>
      </c>
      <c r="F53" s="70" t="s">
        <v>143</v>
      </c>
      <c r="G53" s="71"/>
      <c r="H53" s="71"/>
      <c r="I53" s="72"/>
      <c r="J53" s="81"/>
      <c r="K53" s="74"/>
      <c r="L53" s="82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</row>
    <row r="54">
      <c r="A54" s="18"/>
      <c r="B54" s="74"/>
      <c r="C54" s="20"/>
      <c r="D54" s="75">
        <v>54.99</v>
      </c>
      <c r="E54" s="75"/>
      <c r="F54" s="75"/>
      <c r="G54" s="76">
        <f>SUM(D54,E54,F54)</f>
        <v>54.99</v>
      </c>
      <c r="H54" s="77">
        <f>AVERAGE(D54,E54,F54)</f>
        <v>54.99</v>
      </c>
      <c r="I54" s="85"/>
      <c r="J54" s="78">
        <v>0.5</v>
      </c>
      <c r="K54" s="85"/>
      <c r="L54" s="80">
        <f>H54*J54</f>
        <v>27.495</v>
      </c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</row>
    <row r="55">
      <c r="A55" s="86" t="s">
        <v>106</v>
      </c>
      <c r="B55" s="74"/>
      <c r="C55" s="74"/>
      <c r="D55" s="74"/>
      <c r="E55" s="74"/>
      <c r="F55" s="74"/>
      <c r="G55" s="82"/>
      <c r="H55" s="87">
        <f>SUM(H4:H54)</f>
        <v>393.3416667</v>
      </c>
      <c r="I55" s="85"/>
      <c r="J55" s="88" t="s">
        <v>6</v>
      </c>
      <c r="K55" s="20"/>
      <c r="L55" s="89">
        <f>SUM(L4:L54)</f>
        <v>1066.5665</v>
      </c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</row>
    <row r="56">
      <c r="A56" s="90" t="s">
        <v>144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</row>
    <row r="57">
      <c r="A57" s="68">
        <f>A53+1</f>
        <v>27</v>
      </c>
      <c r="B57" s="69" t="s">
        <v>145</v>
      </c>
      <c r="C57" s="12"/>
      <c r="D57" s="70" t="s">
        <v>94</v>
      </c>
      <c r="E57" s="70" t="s">
        <v>95</v>
      </c>
      <c r="F57" s="70" t="s">
        <v>96</v>
      </c>
      <c r="G57" s="71"/>
      <c r="H57" s="71"/>
      <c r="I57" s="72"/>
      <c r="J57" s="81"/>
      <c r="K57" s="74"/>
      <c r="L57" s="82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</row>
    <row r="58">
      <c r="A58" s="18"/>
      <c r="B58" s="74"/>
      <c r="C58" s="20"/>
      <c r="D58" s="75">
        <v>10.58</v>
      </c>
      <c r="E58" s="75"/>
      <c r="F58" s="75"/>
      <c r="G58" s="76">
        <f>SUM(D58,E58,F58)</f>
        <v>10.58</v>
      </c>
      <c r="H58" s="77">
        <f>AVERAGE(D58,E58,F58)</f>
        <v>10.58</v>
      </c>
      <c r="I58" s="72"/>
      <c r="J58" s="78">
        <v>4.0</v>
      </c>
      <c r="K58" s="79"/>
      <c r="L58" s="80">
        <f>H58*J58</f>
        <v>42.32</v>
      </c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</row>
    <row r="59">
      <c r="A59" s="68">
        <f>A57+1</f>
        <v>28</v>
      </c>
      <c r="B59" s="69" t="s">
        <v>97</v>
      </c>
      <c r="C59" s="12"/>
      <c r="D59" s="70" t="s">
        <v>99</v>
      </c>
      <c r="E59" s="70" t="s">
        <v>104</v>
      </c>
      <c r="F59" s="70" t="s">
        <v>33</v>
      </c>
      <c r="G59" s="71"/>
      <c r="H59" s="71"/>
      <c r="I59" s="72"/>
      <c r="J59" s="81"/>
      <c r="K59" s="74"/>
      <c r="L59" s="82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</row>
    <row r="60">
      <c r="A60" s="18"/>
      <c r="B60" s="74"/>
      <c r="C60" s="20"/>
      <c r="D60" s="75">
        <v>2.68</v>
      </c>
      <c r="E60" s="75">
        <v>2.69</v>
      </c>
      <c r="F60" s="84"/>
      <c r="G60" s="76">
        <f>SUM(D60,E60,F60)</f>
        <v>5.37</v>
      </c>
      <c r="H60" s="77">
        <f>AVERAGE(D60,E60,F60)</f>
        <v>2.685</v>
      </c>
      <c r="I60" s="72"/>
      <c r="J60" s="78">
        <v>15.0</v>
      </c>
      <c r="K60" s="79"/>
      <c r="L60" s="80">
        <f>H60*J60</f>
        <v>40.275</v>
      </c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</row>
    <row r="61">
      <c r="A61" s="68">
        <f>A59+1</f>
        <v>29</v>
      </c>
      <c r="B61" s="69" t="s">
        <v>100</v>
      </c>
      <c r="C61" s="12"/>
      <c r="D61" s="70" t="s">
        <v>99</v>
      </c>
      <c r="E61" s="70" t="s">
        <v>147</v>
      </c>
      <c r="F61" s="70" t="s">
        <v>148</v>
      </c>
      <c r="G61" s="71"/>
      <c r="H61" s="71"/>
      <c r="I61" s="72"/>
      <c r="J61" s="81"/>
      <c r="K61" s="74"/>
      <c r="L61" s="82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</row>
    <row r="62">
      <c r="A62" s="18"/>
      <c r="B62" s="74"/>
      <c r="C62" s="20"/>
      <c r="D62" s="75">
        <v>2.99</v>
      </c>
      <c r="E62" s="75"/>
      <c r="F62" s="75"/>
      <c r="G62" s="76">
        <f>SUM(D62,E62,F62)</f>
        <v>2.99</v>
      </c>
      <c r="H62" s="77">
        <f>AVERAGE(D62,E62,F62)</f>
        <v>2.99</v>
      </c>
      <c r="I62" s="72"/>
      <c r="J62" s="78">
        <v>2.0</v>
      </c>
      <c r="K62" s="79"/>
      <c r="L62" s="80">
        <f>H62*J62</f>
        <v>5.98</v>
      </c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</row>
    <row r="63">
      <c r="A63" s="68">
        <f>A61+1</f>
        <v>30</v>
      </c>
      <c r="B63" s="69" t="s">
        <v>103</v>
      </c>
      <c r="C63" s="12"/>
      <c r="D63" s="70" t="s">
        <v>99</v>
      </c>
      <c r="E63" s="70" t="s">
        <v>104</v>
      </c>
      <c r="F63" s="70" t="s">
        <v>105</v>
      </c>
      <c r="G63" s="71"/>
      <c r="H63" s="71"/>
      <c r="I63" s="72"/>
      <c r="J63" s="81"/>
      <c r="K63" s="74"/>
      <c r="L63" s="82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</row>
    <row r="64">
      <c r="A64" s="18"/>
      <c r="B64" s="74"/>
      <c r="C64" s="20"/>
      <c r="D64" s="75">
        <v>2.65</v>
      </c>
      <c r="E64" s="75">
        <v>2.49</v>
      </c>
      <c r="F64" s="75"/>
      <c r="G64" s="76">
        <f>SUM(D64,E64,F64)</f>
        <v>5.14</v>
      </c>
      <c r="H64" s="77">
        <f>AVERAGE(D64,E64,F64)</f>
        <v>2.57</v>
      </c>
      <c r="I64" s="85"/>
      <c r="J64" s="78">
        <v>2.0</v>
      </c>
      <c r="K64" s="79"/>
      <c r="L64" s="80">
        <f>H64*J64</f>
        <v>5.14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</row>
    <row r="65">
      <c r="A65" s="86" t="s">
        <v>106</v>
      </c>
      <c r="B65" s="74"/>
      <c r="C65" s="74"/>
      <c r="D65" s="74"/>
      <c r="E65" s="74"/>
      <c r="F65" s="74"/>
      <c r="G65" s="82"/>
      <c r="H65" s="87">
        <f>SUM(H57:H64)</f>
        <v>18.825</v>
      </c>
      <c r="I65" s="85"/>
      <c r="J65" s="88" t="s">
        <v>6</v>
      </c>
      <c r="K65" s="20"/>
      <c r="L65" s="89">
        <f>SUM(L57:L64)</f>
        <v>93.715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</row>
    <row r="66">
      <c r="A66" s="90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</row>
    <row r="67">
      <c r="A67" s="68">
        <f>A63+1</f>
        <v>31</v>
      </c>
      <c r="B67" s="69" t="s">
        <v>108</v>
      </c>
      <c r="C67" s="12"/>
      <c r="D67" s="70" t="s">
        <v>109</v>
      </c>
      <c r="E67" s="70" t="s">
        <v>149</v>
      </c>
      <c r="F67" s="70" t="s">
        <v>150</v>
      </c>
      <c r="G67" s="71"/>
      <c r="H67" s="71"/>
      <c r="I67" s="72"/>
      <c r="J67" s="81"/>
      <c r="K67" s="74"/>
      <c r="L67" s="82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</row>
    <row r="68">
      <c r="A68" s="18"/>
      <c r="B68" s="74"/>
      <c r="C68" s="20"/>
      <c r="D68" s="75">
        <v>4.59</v>
      </c>
      <c r="E68" s="75">
        <v>4.59</v>
      </c>
      <c r="F68" s="75"/>
      <c r="G68" s="76">
        <f>SUM(D68,E68,F68)</f>
        <v>9.18</v>
      </c>
      <c r="H68" s="77">
        <f>AVERAGE(D68,E68,F68)</f>
        <v>4.59</v>
      </c>
      <c r="I68" s="72"/>
      <c r="J68" s="78">
        <v>3.0</v>
      </c>
      <c r="K68" s="79"/>
      <c r="L68" s="80">
        <f>H68*J68</f>
        <v>13.77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</row>
    <row r="69">
      <c r="A69" s="68">
        <f>A67+1</f>
        <v>32</v>
      </c>
      <c r="B69" s="69" t="s">
        <v>112</v>
      </c>
      <c r="C69" s="12"/>
      <c r="D69" s="70" t="s">
        <v>113</v>
      </c>
      <c r="E69" s="70" t="s">
        <v>114</v>
      </c>
      <c r="F69" s="70" t="s">
        <v>33</v>
      </c>
      <c r="G69" s="71"/>
      <c r="H69" s="71"/>
      <c r="I69" s="72"/>
      <c r="J69" s="81"/>
      <c r="K69" s="74"/>
      <c r="L69" s="82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</row>
    <row r="70">
      <c r="A70" s="18"/>
      <c r="B70" s="74"/>
      <c r="C70" s="20"/>
      <c r="D70" s="75">
        <v>4.38</v>
      </c>
      <c r="E70" s="75">
        <v>4.0</v>
      </c>
      <c r="F70" s="84"/>
      <c r="G70" s="76">
        <f>SUM(D70,E70,F70)</f>
        <v>8.38</v>
      </c>
      <c r="H70" s="77">
        <f>AVERAGE(D70,E70,F70)</f>
        <v>4.19</v>
      </c>
      <c r="I70" s="72"/>
      <c r="J70" s="78">
        <v>2.0</v>
      </c>
      <c r="K70" s="79"/>
      <c r="L70" s="80">
        <f>H70*J70</f>
        <v>8.38</v>
      </c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</row>
    <row r="71">
      <c r="A71" s="68">
        <f>A69+1</f>
        <v>33</v>
      </c>
      <c r="B71" s="69" t="s">
        <v>115</v>
      </c>
      <c r="C71" s="12"/>
      <c r="D71" s="70" t="s">
        <v>116</v>
      </c>
      <c r="E71" s="70" t="s">
        <v>117</v>
      </c>
      <c r="F71" s="70" t="s">
        <v>33</v>
      </c>
      <c r="G71" s="71"/>
      <c r="H71" s="71"/>
      <c r="I71" s="72"/>
      <c r="J71" s="81"/>
      <c r="K71" s="74"/>
      <c r="L71" s="82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</row>
    <row r="72">
      <c r="A72" s="18"/>
      <c r="B72" s="74"/>
      <c r="C72" s="20"/>
      <c r="D72" s="75">
        <v>2.58</v>
      </c>
      <c r="E72" s="75">
        <v>2.68</v>
      </c>
      <c r="F72" s="84"/>
      <c r="G72" s="76">
        <f>SUM(D72,E72,F72)</f>
        <v>5.26</v>
      </c>
      <c r="H72" s="77">
        <f>AVERAGE(D72,E72,F72)</f>
        <v>2.63</v>
      </c>
      <c r="I72" s="72"/>
      <c r="J72" s="78">
        <v>10.0</v>
      </c>
      <c r="K72" s="79"/>
      <c r="L72" s="80">
        <f>H72*J72</f>
        <v>26.3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</row>
    <row r="73">
      <c r="A73" s="68">
        <f>A71+1</f>
        <v>34</v>
      </c>
      <c r="B73" s="69" t="s">
        <v>119</v>
      </c>
      <c r="C73" s="12"/>
      <c r="D73" s="83" t="s">
        <v>151</v>
      </c>
      <c r="E73" s="83" t="s">
        <v>152</v>
      </c>
      <c r="F73" s="70" t="s">
        <v>33</v>
      </c>
      <c r="G73" s="71"/>
      <c r="H73" s="71"/>
      <c r="I73" s="72"/>
      <c r="J73" s="81"/>
      <c r="K73" s="74"/>
      <c r="L73" s="82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</row>
    <row r="74">
      <c r="A74" s="18"/>
      <c r="B74" s="74"/>
      <c r="C74" s="20"/>
      <c r="D74" s="75">
        <v>16.38</v>
      </c>
      <c r="E74" s="75">
        <v>12.99</v>
      </c>
      <c r="F74" s="84"/>
      <c r="G74" s="76">
        <f>SUM(D74,E74,F74)</f>
        <v>29.37</v>
      </c>
      <c r="H74" s="77">
        <f>AVERAGE(D74,E74,F74)</f>
        <v>14.685</v>
      </c>
      <c r="I74" s="72"/>
      <c r="J74" s="78">
        <v>2.0</v>
      </c>
      <c r="K74" s="79"/>
      <c r="L74" s="80">
        <f>H74*J74</f>
        <v>29.37</v>
      </c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</row>
    <row r="75">
      <c r="A75" s="68">
        <f>A73+1</f>
        <v>35</v>
      </c>
      <c r="B75" s="69" t="s">
        <v>122</v>
      </c>
      <c r="C75" s="12"/>
      <c r="D75" s="70" t="s">
        <v>123</v>
      </c>
      <c r="E75" s="70" t="s">
        <v>124</v>
      </c>
      <c r="F75" s="70" t="s">
        <v>33</v>
      </c>
      <c r="G75" s="71"/>
      <c r="H75" s="71"/>
      <c r="I75" s="72"/>
      <c r="J75" s="81"/>
      <c r="K75" s="74"/>
      <c r="L75" s="82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</row>
    <row r="76">
      <c r="A76" s="18"/>
      <c r="B76" s="74"/>
      <c r="C76" s="20"/>
      <c r="D76" s="75">
        <v>4.0</v>
      </c>
      <c r="E76" s="75"/>
      <c r="F76" s="84"/>
      <c r="G76" s="76">
        <f>SUM(D76,E76,F76)</f>
        <v>4</v>
      </c>
      <c r="H76" s="77">
        <f>AVERAGE(D76,E76,F76)</f>
        <v>4</v>
      </c>
      <c r="I76" s="85"/>
      <c r="J76" s="78">
        <v>1.0</v>
      </c>
      <c r="K76" s="79"/>
      <c r="L76" s="80">
        <f>H76*J76</f>
        <v>4</v>
      </c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</row>
    <row r="77">
      <c r="A77" s="86" t="s">
        <v>106</v>
      </c>
      <c r="B77" s="74"/>
      <c r="C77" s="74"/>
      <c r="D77" s="74"/>
      <c r="E77" s="74"/>
      <c r="F77" s="74"/>
      <c r="G77" s="82"/>
      <c r="H77" s="87">
        <f>SUM(H68:H76)</f>
        <v>30.095</v>
      </c>
      <c r="I77" s="85"/>
      <c r="J77" s="88" t="s">
        <v>6</v>
      </c>
      <c r="K77" s="20"/>
      <c r="L77" s="89">
        <f>SUM(L68:L76)</f>
        <v>81.82</v>
      </c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442.2616667</v>
      </c>
      <c r="I80" s="63"/>
      <c r="J80" s="72"/>
      <c r="K80" s="97" t="s">
        <v>6</v>
      </c>
      <c r="L80" s="89">
        <f>L55+L65+L77</f>
        <v>1242.1015</v>
      </c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</row>
    <row r="2">
      <c r="A2" s="102" t="s">
        <v>156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126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</row>
    <row r="4">
      <c r="A4" s="18"/>
      <c r="B4" s="74"/>
      <c r="C4" s="20"/>
      <c r="D4" s="75">
        <v>29.9</v>
      </c>
      <c r="E4" s="75">
        <v>30.0</v>
      </c>
      <c r="F4" s="75">
        <v>31.0</v>
      </c>
      <c r="G4" s="76">
        <f>SUM(D4,E4,F4)</f>
        <v>90.9</v>
      </c>
      <c r="H4" s="77">
        <f>AVERAGE(D4,E4,F4)</f>
        <v>30.3</v>
      </c>
      <c r="I4" s="72"/>
      <c r="J4" s="78">
        <v>3.0</v>
      </c>
      <c r="K4" s="79" t="s">
        <v>11</v>
      </c>
      <c r="L4" s="80">
        <f>H4*J4</f>
        <v>90.9</v>
      </c>
      <c r="M4" s="63"/>
      <c r="N4" s="63"/>
      <c r="O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127</v>
      </c>
      <c r="G5" s="71"/>
      <c r="H5" s="71"/>
      <c r="I5" s="72"/>
      <c r="J5" s="81"/>
      <c r="K5" s="74"/>
      <c r="L5" s="82"/>
      <c r="M5" s="63"/>
      <c r="N5" s="63"/>
      <c r="O5" s="63"/>
    </row>
    <row r="6">
      <c r="A6" s="18"/>
      <c r="B6" s="74"/>
      <c r="C6" s="20"/>
      <c r="D6" s="75">
        <v>5.58</v>
      </c>
      <c r="E6" s="75">
        <v>5.48</v>
      </c>
      <c r="F6" s="75">
        <v>5.3</v>
      </c>
      <c r="G6" s="76">
        <f>SUM(D6,E6,F6)</f>
        <v>16.36</v>
      </c>
      <c r="H6" s="77">
        <f>AVERAGE(D6,E6,F6)</f>
        <v>5.453333333</v>
      </c>
      <c r="I6" s="72"/>
      <c r="J6" s="78">
        <v>4.0</v>
      </c>
      <c r="K6" s="79"/>
      <c r="L6" s="80">
        <f>H6*J6</f>
        <v>21.81333333</v>
      </c>
      <c r="M6" s="63"/>
      <c r="N6" s="63"/>
      <c r="O6" s="63"/>
    </row>
    <row r="7">
      <c r="A7" s="68">
        <f>A5+1</f>
        <v>3</v>
      </c>
      <c r="B7" s="69" t="s">
        <v>15</v>
      </c>
      <c r="C7" s="12"/>
      <c r="D7" s="83" t="s">
        <v>16</v>
      </c>
      <c r="E7" s="70" t="s">
        <v>129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</row>
    <row r="8">
      <c r="A8" s="18"/>
      <c r="B8" s="74"/>
      <c r="C8" s="20"/>
      <c r="D8" s="75">
        <v>17.99</v>
      </c>
      <c r="E8" s="75">
        <v>16.99</v>
      </c>
      <c r="F8" s="75"/>
      <c r="G8" s="76">
        <f>SUM(D8,E8,F8)</f>
        <v>34.98</v>
      </c>
      <c r="H8" s="77">
        <f>AVERAGE(D8,E8,F8)</f>
        <v>17.49</v>
      </c>
      <c r="I8" s="72"/>
      <c r="J8" s="78">
        <v>2.0</v>
      </c>
      <c r="K8" s="79"/>
      <c r="L8" s="80">
        <f>H8*J8</f>
        <v>34.98</v>
      </c>
      <c r="M8" s="63"/>
      <c r="N8" s="63"/>
      <c r="O8" s="63"/>
    </row>
    <row r="9">
      <c r="A9" s="68">
        <f>A7+1</f>
        <v>4</v>
      </c>
      <c r="B9" s="69" t="s">
        <v>19</v>
      </c>
      <c r="C9" s="12"/>
      <c r="D9" s="70" t="s">
        <v>20</v>
      </c>
      <c r="E9" s="70" t="s">
        <v>21</v>
      </c>
      <c r="F9" s="83" t="s">
        <v>130</v>
      </c>
      <c r="G9" s="71"/>
      <c r="H9" s="71"/>
      <c r="I9" s="72"/>
      <c r="J9" s="81"/>
      <c r="K9" s="74"/>
      <c r="L9" s="82"/>
      <c r="M9" s="63"/>
      <c r="N9" s="63"/>
      <c r="O9" s="63"/>
    </row>
    <row r="10">
      <c r="A10" s="18"/>
      <c r="B10" s="74"/>
      <c r="C10" s="20"/>
      <c r="D10" s="75">
        <v>23.89</v>
      </c>
      <c r="E10" s="75"/>
      <c r="F10" s="75"/>
      <c r="G10" s="76">
        <f>SUM(D10,E10,F10)</f>
        <v>23.89</v>
      </c>
      <c r="H10" s="77">
        <f>AVERAGE(D10,E10,F10)</f>
        <v>23.89</v>
      </c>
      <c r="I10" s="72"/>
      <c r="J10" s="78">
        <v>3.0</v>
      </c>
      <c r="K10" s="79"/>
      <c r="L10" s="80">
        <f>H10*J10</f>
        <v>71.67</v>
      </c>
      <c r="M10" s="63"/>
      <c r="N10" s="63"/>
      <c r="O10" s="63"/>
    </row>
    <row r="11">
      <c r="A11" s="68">
        <f>A9+1</f>
        <v>5</v>
      </c>
      <c r="B11" s="69" t="s">
        <v>23</v>
      </c>
      <c r="C11" s="12"/>
      <c r="D11" s="70" t="s">
        <v>24</v>
      </c>
      <c r="E11" s="70" t="s">
        <v>25</v>
      </c>
      <c r="F11" s="70" t="s">
        <v>26</v>
      </c>
      <c r="G11" s="71"/>
      <c r="H11" s="71"/>
      <c r="I11" s="72"/>
      <c r="J11" s="81"/>
      <c r="K11" s="74"/>
      <c r="L11" s="82"/>
      <c r="M11" s="63"/>
      <c r="N11" s="63"/>
      <c r="O11" s="63"/>
    </row>
    <row r="12">
      <c r="A12" s="18"/>
      <c r="B12" s="74"/>
      <c r="C12" s="20"/>
      <c r="D12" s="75"/>
      <c r="E12" s="75"/>
      <c r="F12" s="75">
        <v>6.39</v>
      </c>
      <c r="G12" s="76">
        <f>SUM(D12,E12,F12)</f>
        <v>6.39</v>
      </c>
      <c r="H12" s="77">
        <f>AVERAGE(D12,E12,F12)</f>
        <v>6.39</v>
      </c>
      <c r="I12" s="72"/>
      <c r="J12" s="78">
        <v>3.0</v>
      </c>
      <c r="K12" s="79"/>
      <c r="L12" s="80">
        <f>H12*J12</f>
        <v>19.17</v>
      </c>
      <c r="M12" s="63"/>
      <c r="N12" s="63"/>
      <c r="O12" s="63"/>
    </row>
    <row r="13">
      <c r="A13" s="68">
        <f>A11+1</f>
        <v>6</v>
      </c>
      <c r="B13" s="69" t="s">
        <v>27</v>
      </c>
      <c r="C13" s="12"/>
      <c r="D13" s="70" t="s">
        <v>28</v>
      </c>
      <c r="E13" s="70" t="s">
        <v>133</v>
      </c>
      <c r="F13" s="70" t="s">
        <v>30</v>
      </c>
      <c r="G13" s="71"/>
      <c r="H13" s="71"/>
      <c r="I13" s="72"/>
      <c r="J13" s="81"/>
      <c r="K13" s="74"/>
      <c r="L13" s="82"/>
      <c r="M13" s="63"/>
      <c r="N13" s="63"/>
      <c r="O13" s="63"/>
    </row>
    <row r="14">
      <c r="A14" s="18"/>
      <c r="B14" s="74"/>
      <c r="C14" s="20"/>
      <c r="D14" s="75"/>
      <c r="E14" s="75">
        <v>10.9</v>
      </c>
      <c r="F14" s="75">
        <v>11.68</v>
      </c>
      <c r="G14" s="76">
        <f>SUM(D14,E14,F14)</f>
        <v>22.58</v>
      </c>
      <c r="H14" s="77">
        <f>AVERAGE(D14,E14,F14)</f>
        <v>11.29</v>
      </c>
      <c r="I14" s="72"/>
      <c r="J14" s="78">
        <v>1.0</v>
      </c>
      <c r="K14" s="79"/>
      <c r="L14" s="80">
        <f>H14*J14</f>
        <v>11.29</v>
      </c>
      <c r="M14" s="63"/>
      <c r="N14" s="63"/>
      <c r="O14" s="63"/>
    </row>
    <row r="15">
      <c r="A15" s="68">
        <f>A13+1</f>
        <v>7</v>
      </c>
      <c r="B15" s="69" t="s">
        <v>31</v>
      </c>
      <c r="C15" s="12"/>
      <c r="D15" s="70" t="s">
        <v>32</v>
      </c>
      <c r="E15" s="70" t="s">
        <v>33</v>
      </c>
      <c r="F15" s="70" t="s">
        <v>33</v>
      </c>
      <c r="G15" s="71"/>
      <c r="H15" s="71"/>
      <c r="I15" s="72"/>
      <c r="J15" s="81"/>
      <c r="K15" s="74"/>
      <c r="L15" s="82"/>
      <c r="M15" s="63"/>
      <c r="N15" s="63"/>
      <c r="O15" s="63"/>
    </row>
    <row r="16">
      <c r="A16" s="18"/>
      <c r="B16" s="74"/>
      <c r="C16" s="20"/>
      <c r="D16" s="75">
        <v>5.9</v>
      </c>
      <c r="E16" s="84"/>
      <c r="F16" s="84"/>
      <c r="G16" s="76">
        <f>SUM(D16,E16,F16)</f>
        <v>5.9</v>
      </c>
      <c r="H16" s="77">
        <f>AVERAGE(D16,E16,F16)</f>
        <v>5.9</v>
      </c>
      <c r="I16" s="72"/>
      <c r="J16" s="78">
        <v>4.0</v>
      </c>
      <c r="K16" s="79"/>
      <c r="L16" s="80">
        <f>H16*J16</f>
        <v>23.6</v>
      </c>
      <c r="M16" s="63"/>
      <c r="N16" s="63"/>
      <c r="O16" s="63"/>
    </row>
    <row r="17">
      <c r="A17" s="68">
        <f>A15+1</f>
        <v>8</v>
      </c>
      <c r="B17" s="69" t="s">
        <v>34</v>
      </c>
      <c r="C17" s="12"/>
      <c r="D17" s="70" t="s">
        <v>35</v>
      </c>
      <c r="E17" s="70" t="s">
        <v>33</v>
      </c>
      <c r="F17" s="70" t="s">
        <v>33</v>
      </c>
      <c r="G17" s="71"/>
      <c r="H17" s="71"/>
      <c r="I17" s="72"/>
      <c r="J17" s="81"/>
      <c r="K17" s="74"/>
      <c r="L17" s="82"/>
      <c r="M17" s="63"/>
      <c r="N17" s="63"/>
      <c r="O17" s="63"/>
    </row>
    <row r="18">
      <c r="A18" s="18"/>
      <c r="B18" s="74"/>
      <c r="C18" s="20"/>
      <c r="D18" s="75">
        <v>5.9</v>
      </c>
      <c r="E18" s="84"/>
      <c r="F18" s="84"/>
      <c r="G18" s="76">
        <f>SUM(D18,E18,F18)</f>
        <v>5.9</v>
      </c>
      <c r="H18" s="77">
        <f>AVERAGE(D18,E18,F18)</f>
        <v>5.9</v>
      </c>
      <c r="I18" s="72"/>
      <c r="J18" s="78">
        <v>1.0</v>
      </c>
      <c r="K18" s="79"/>
      <c r="L18" s="80">
        <f>H18*J18</f>
        <v>5.9</v>
      </c>
      <c r="M18" s="63"/>
      <c r="N18" s="63"/>
      <c r="O18" s="63"/>
    </row>
    <row r="19">
      <c r="A19" s="68">
        <f>A17+1</f>
        <v>9</v>
      </c>
      <c r="B19" s="69" t="s">
        <v>36</v>
      </c>
      <c r="C19" s="12"/>
      <c r="D19" s="70" t="s">
        <v>37</v>
      </c>
      <c r="E19" s="70" t="s">
        <v>33</v>
      </c>
      <c r="F19" s="70" t="s">
        <v>33</v>
      </c>
      <c r="G19" s="71"/>
      <c r="H19" s="71"/>
      <c r="I19" s="72"/>
      <c r="J19" s="81"/>
      <c r="K19" s="74"/>
      <c r="L19" s="82"/>
      <c r="M19" s="63"/>
      <c r="N19" s="63"/>
      <c r="O19" s="63"/>
    </row>
    <row r="20">
      <c r="A20" s="18"/>
      <c r="B20" s="74"/>
      <c r="C20" s="20"/>
      <c r="D20" s="75">
        <v>5.9</v>
      </c>
      <c r="E20" s="84"/>
      <c r="F20" s="84"/>
      <c r="G20" s="76">
        <f>SUM(D20,E20,F20)</f>
        <v>5.9</v>
      </c>
      <c r="H20" s="77">
        <f>AVERAGE(D20,E20,F20)</f>
        <v>5.9</v>
      </c>
      <c r="I20" s="72"/>
      <c r="J20" s="78">
        <v>9.0</v>
      </c>
      <c r="K20" s="79"/>
      <c r="L20" s="80">
        <f>H20*J20</f>
        <v>53.1</v>
      </c>
      <c r="M20" s="63"/>
      <c r="N20" s="63"/>
      <c r="O20" s="63"/>
    </row>
    <row r="21">
      <c r="A21" s="68">
        <f>A19+1</f>
        <v>10</v>
      </c>
      <c r="B21" s="69" t="s">
        <v>38</v>
      </c>
      <c r="C21" s="12"/>
      <c r="D21" s="70" t="s">
        <v>39</v>
      </c>
      <c r="E21" s="70" t="s">
        <v>33</v>
      </c>
      <c r="F21" s="70" t="s">
        <v>33</v>
      </c>
      <c r="G21" s="71"/>
      <c r="H21" s="71"/>
      <c r="I21" s="72"/>
      <c r="J21" s="81"/>
      <c r="K21" s="74"/>
      <c r="L21" s="82"/>
      <c r="M21" s="63"/>
      <c r="N21" s="63"/>
      <c r="O21" s="63"/>
    </row>
    <row r="22">
      <c r="A22" s="18"/>
      <c r="B22" s="74"/>
      <c r="C22" s="20"/>
      <c r="D22" s="75">
        <v>23.99</v>
      </c>
      <c r="E22" s="84"/>
      <c r="F22" s="84"/>
      <c r="G22" s="76">
        <f>SUM(D22,E22,F22)</f>
        <v>23.99</v>
      </c>
      <c r="H22" s="77">
        <f>AVERAGE(D22,E22,F22)</f>
        <v>23.99</v>
      </c>
      <c r="I22" s="72"/>
      <c r="J22" s="78">
        <v>0.2</v>
      </c>
      <c r="K22" s="79"/>
      <c r="L22" s="80">
        <f>H22*J22</f>
        <v>4.798</v>
      </c>
      <c r="M22" s="63"/>
      <c r="N22" s="63"/>
      <c r="O22" s="63"/>
    </row>
    <row r="23">
      <c r="A23" s="68">
        <f>A21+1</f>
        <v>11</v>
      </c>
      <c r="B23" s="69" t="s">
        <v>40</v>
      </c>
      <c r="C23" s="12"/>
      <c r="D23" s="70" t="s">
        <v>41</v>
      </c>
      <c r="E23" s="70" t="s">
        <v>42</v>
      </c>
      <c r="F23" s="70" t="s">
        <v>33</v>
      </c>
      <c r="G23" s="71"/>
      <c r="H23" s="71"/>
      <c r="I23" s="72"/>
      <c r="J23" s="81"/>
      <c r="K23" s="74"/>
      <c r="L23" s="82"/>
      <c r="M23" s="63"/>
      <c r="N23" s="63"/>
      <c r="O23" s="63"/>
    </row>
    <row r="24">
      <c r="A24" s="18"/>
      <c r="B24" s="74"/>
      <c r="C24" s="20"/>
      <c r="D24" s="75">
        <v>10.0</v>
      </c>
      <c r="E24" s="75"/>
      <c r="F24" s="84"/>
      <c r="G24" s="76">
        <f>SUM(D24,E24,F24)</f>
        <v>10</v>
      </c>
      <c r="H24" s="77">
        <f>AVERAGE(D24,E24,F24)</f>
        <v>10</v>
      </c>
      <c r="I24" s="72"/>
      <c r="J24" s="78">
        <v>3.0</v>
      </c>
      <c r="K24" s="79"/>
      <c r="L24" s="80">
        <f>H24*J24</f>
        <v>30</v>
      </c>
      <c r="M24" s="63"/>
      <c r="N24" s="63"/>
      <c r="O24" s="63"/>
    </row>
    <row r="25">
      <c r="A25" s="68">
        <f>A23+1</f>
        <v>12</v>
      </c>
      <c r="B25" s="69" t="s">
        <v>43</v>
      </c>
      <c r="C25" s="12"/>
      <c r="D25" s="70" t="s">
        <v>44</v>
      </c>
      <c r="E25" s="70" t="s">
        <v>45</v>
      </c>
      <c r="F25" s="70" t="s">
        <v>46</v>
      </c>
      <c r="G25" s="71"/>
      <c r="H25" s="71"/>
      <c r="I25" s="72"/>
      <c r="J25" s="81"/>
      <c r="K25" s="74"/>
      <c r="L25" s="82"/>
      <c r="M25" s="63"/>
      <c r="N25" s="63"/>
      <c r="O25" s="63"/>
    </row>
    <row r="26">
      <c r="A26" s="18"/>
      <c r="B26" s="74"/>
      <c r="C26" s="20"/>
      <c r="D26" s="75">
        <v>5.89</v>
      </c>
      <c r="E26" s="75">
        <v>5.15</v>
      </c>
      <c r="F26" s="75"/>
      <c r="G26" s="76">
        <f>SUM(D26,E26,F26)</f>
        <v>11.04</v>
      </c>
      <c r="H26" s="77">
        <f>AVERAGE(D26,E26,F26)</f>
        <v>5.52</v>
      </c>
      <c r="I26" s="72"/>
      <c r="J26" s="78">
        <v>4.0</v>
      </c>
      <c r="K26" s="79"/>
      <c r="L26" s="80">
        <f>H26*J26</f>
        <v>22.08</v>
      </c>
      <c r="M26" s="63"/>
      <c r="N26" s="63"/>
      <c r="O26" s="63"/>
    </row>
    <row r="27">
      <c r="A27" s="68">
        <f>A25+1</f>
        <v>13</v>
      </c>
      <c r="B27" s="69" t="s">
        <v>47</v>
      </c>
      <c r="C27" s="12"/>
      <c r="D27" s="70" t="s">
        <v>48</v>
      </c>
      <c r="E27" s="70" t="s">
        <v>90</v>
      </c>
      <c r="F27" s="70" t="s">
        <v>50</v>
      </c>
      <c r="G27" s="71"/>
      <c r="H27" s="71"/>
      <c r="I27" s="72"/>
      <c r="J27" s="81"/>
      <c r="K27" s="74"/>
      <c r="L27" s="82"/>
      <c r="M27" s="63"/>
      <c r="N27" s="63"/>
      <c r="O27" s="63"/>
    </row>
    <row r="28">
      <c r="A28" s="18"/>
      <c r="B28" s="74"/>
      <c r="C28" s="20"/>
      <c r="D28" s="75">
        <v>1.99</v>
      </c>
      <c r="E28" s="75">
        <v>2.15</v>
      </c>
      <c r="F28" s="75"/>
      <c r="G28" s="76">
        <f>SUM(D28,E28,F28)</f>
        <v>4.14</v>
      </c>
      <c r="H28" s="77">
        <f>AVERAGE(D28,E28,F28)</f>
        <v>2.07</v>
      </c>
      <c r="I28" s="72"/>
      <c r="J28" s="78">
        <v>2.0</v>
      </c>
      <c r="K28" s="79"/>
      <c r="L28" s="80">
        <f>H28*J28</f>
        <v>4.14</v>
      </c>
      <c r="M28" s="63"/>
      <c r="N28" s="63"/>
      <c r="O28" s="63"/>
    </row>
    <row r="29">
      <c r="A29" s="68">
        <f>A27+1</f>
        <v>14</v>
      </c>
      <c r="B29" s="69" t="s">
        <v>51</v>
      </c>
      <c r="C29" s="12"/>
      <c r="D29" s="70" t="s">
        <v>52</v>
      </c>
      <c r="E29" s="70" t="s">
        <v>33</v>
      </c>
      <c r="F29" s="70" t="s">
        <v>33</v>
      </c>
      <c r="G29" s="71"/>
      <c r="H29" s="71"/>
      <c r="I29" s="72"/>
      <c r="J29" s="81"/>
      <c r="K29" s="74"/>
      <c r="L29" s="82"/>
      <c r="M29" s="63"/>
      <c r="N29" s="63"/>
      <c r="O29" s="63"/>
    </row>
    <row r="30">
      <c r="A30" s="18"/>
      <c r="B30" s="74"/>
      <c r="C30" s="20"/>
      <c r="D30" s="75">
        <v>13.68</v>
      </c>
      <c r="E30" s="84"/>
      <c r="F30" s="84"/>
      <c r="G30" s="76">
        <f>SUM(D30,E30,F30)</f>
        <v>13.68</v>
      </c>
      <c r="H30" s="77">
        <f>AVERAGE(D30,E30,F30)</f>
        <v>13.68</v>
      </c>
      <c r="I30" s="72"/>
      <c r="J30" s="78">
        <v>6.0</v>
      </c>
      <c r="K30" s="79"/>
      <c r="L30" s="80">
        <f>H30*J30</f>
        <v>82.08</v>
      </c>
      <c r="M30" s="63"/>
      <c r="N30" s="63"/>
      <c r="O30" s="63"/>
    </row>
    <row r="31">
      <c r="A31" s="68">
        <f>A29+1</f>
        <v>15</v>
      </c>
      <c r="B31" s="69" t="s">
        <v>53</v>
      </c>
      <c r="C31" s="12"/>
      <c r="D31" s="70" t="s">
        <v>54</v>
      </c>
      <c r="E31" s="70" t="s">
        <v>55</v>
      </c>
      <c r="F31" s="70" t="s">
        <v>33</v>
      </c>
      <c r="G31" s="71"/>
      <c r="H31" s="71"/>
      <c r="I31" s="72"/>
      <c r="J31" s="81"/>
      <c r="K31" s="74"/>
      <c r="L31" s="82"/>
      <c r="M31" s="63"/>
      <c r="N31" s="63"/>
      <c r="O31" s="63"/>
    </row>
    <row r="32">
      <c r="A32" s="18"/>
      <c r="B32" s="74"/>
      <c r="C32" s="20"/>
      <c r="D32" s="75">
        <v>3.38</v>
      </c>
      <c r="E32" s="75"/>
      <c r="F32" s="84"/>
      <c r="G32" s="76">
        <f>SUM(D32,E32,F32)</f>
        <v>3.38</v>
      </c>
      <c r="H32" s="77">
        <f>AVERAGE(D32,E32,F32)</f>
        <v>3.38</v>
      </c>
      <c r="I32" s="72"/>
      <c r="J32" s="78">
        <v>7.5</v>
      </c>
      <c r="K32" s="79"/>
      <c r="L32" s="80">
        <f>H32*J32</f>
        <v>25.35</v>
      </c>
      <c r="M32" s="63"/>
      <c r="N32" s="63"/>
      <c r="O32" s="63"/>
    </row>
    <row r="33">
      <c r="A33" s="68">
        <f>A31+1</f>
        <v>16</v>
      </c>
      <c r="B33" s="69" t="s">
        <v>56</v>
      </c>
      <c r="C33" s="12"/>
      <c r="D33" s="70" t="s">
        <v>57</v>
      </c>
      <c r="E33" s="70" t="s">
        <v>134</v>
      </c>
      <c r="F33" s="70" t="s">
        <v>59</v>
      </c>
      <c r="G33" s="71"/>
      <c r="H33" s="71"/>
      <c r="I33" s="72"/>
      <c r="J33" s="81"/>
      <c r="K33" s="74"/>
      <c r="L33" s="82"/>
      <c r="M33" s="63"/>
      <c r="N33" s="63"/>
      <c r="O33" s="63"/>
    </row>
    <row r="34">
      <c r="A34" s="18"/>
      <c r="B34" s="74"/>
      <c r="C34" s="20"/>
      <c r="D34" s="75">
        <v>8.39</v>
      </c>
      <c r="E34" s="75"/>
      <c r="F34" s="75"/>
      <c r="G34" s="76">
        <f>SUM(D34,E34,F34)</f>
        <v>8.39</v>
      </c>
      <c r="H34" s="77">
        <f>AVERAGE(D34,E34,F34)</f>
        <v>8.39</v>
      </c>
      <c r="I34" s="72"/>
      <c r="J34" s="78">
        <v>5.0</v>
      </c>
      <c r="K34" s="79"/>
      <c r="L34" s="80">
        <f>H34*J34</f>
        <v>41.95</v>
      </c>
      <c r="M34" s="63"/>
      <c r="N34" s="63"/>
      <c r="O34" s="63"/>
    </row>
    <row r="35">
      <c r="A35" s="68">
        <f>A33+1</f>
        <v>17</v>
      </c>
      <c r="B35" s="69" t="s">
        <v>60</v>
      </c>
      <c r="C35" s="12"/>
      <c r="D35" s="70" t="s">
        <v>61</v>
      </c>
      <c r="E35" s="70" t="s">
        <v>62</v>
      </c>
      <c r="F35" s="70" t="s">
        <v>63</v>
      </c>
      <c r="G35" s="71"/>
      <c r="H35" s="71"/>
      <c r="I35" s="72"/>
      <c r="J35" s="81"/>
      <c r="K35" s="74"/>
      <c r="L35" s="82"/>
      <c r="M35" s="63"/>
      <c r="N35" s="63"/>
      <c r="O35" s="63"/>
    </row>
    <row r="36">
      <c r="A36" s="18"/>
      <c r="B36" s="74"/>
      <c r="C36" s="20"/>
      <c r="D36" s="75">
        <v>5.1</v>
      </c>
      <c r="E36" s="75"/>
      <c r="F36" s="75"/>
      <c r="G36" s="76">
        <f>SUM(D36,E36,F36)</f>
        <v>5.1</v>
      </c>
      <c r="H36" s="77">
        <f>AVERAGE(D36,E36,F36)</f>
        <v>5.1</v>
      </c>
      <c r="I36" s="72"/>
      <c r="J36" s="78">
        <v>7.5</v>
      </c>
      <c r="K36" s="79"/>
      <c r="L36" s="80">
        <f>H36*J36</f>
        <v>38.25</v>
      </c>
      <c r="M36" s="63"/>
      <c r="N36" s="63"/>
      <c r="O36" s="63"/>
    </row>
    <row r="37">
      <c r="A37" s="68">
        <f>A35+1</f>
        <v>18</v>
      </c>
      <c r="B37" s="69" t="s">
        <v>64</v>
      </c>
      <c r="C37" s="12"/>
      <c r="D37" s="70" t="s">
        <v>61</v>
      </c>
      <c r="E37" s="70" t="s">
        <v>135</v>
      </c>
      <c r="F37" s="70" t="s">
        <v>63</v>
      </c>
      <c r="G37" s="71"/>
      <c r="H37" s="71"/>
      <c r="I37" s="72"/>
      <c r="J37" s="81"/>
      <c r="K37" s="74"/>
      <c r="L37" s="82"/>
      <c r="M37" s="63"/>
      <c r="N37" s="63"/>
      <c r="O37" s="63"/>
    </row>
    <row r="38">
      <c r="A38" s="18"/>
      <c r="B38" s="74"/>
      <c r="C38" s="20"/>
      <c r="D38" s="75">
        <v>23.99</v>
      </c>
      <c r="E38" s="75">
        <v>21.9</v>
      </c>
      <c r="F38" s="75">
        <v>21.9</v>
      </c>
      <c r="G38" s="76">
        <f>SUM(D38,E38,F38)</f>
        <v>67.79</v>
      </c>
      <c r="H38" s="77">
        <f>AVERAGE(D38,E38,F38)</f>
        <v>22.59666667</v>
      </c>
      <c r="I38" s="72"/>
      <c r="J38" s="78">
        <v>3.0</v>
      </c>
      <c r="K38" s="79"/>
      <c r="L38" s="80">
        <f>H38*J38</f>
        <v>67.79</v>
      </c>
      <c r="M38" s="63"/>
      <c r="N38" s="63"/>
      <c r="O38" s="63"/>
    </row>
    <row r="39">
      <c r="A39" s="68">
        <f>A37+1</f>
        <v>19</v>
      </c>
      <c r="B39" s="69" t="s">
        <v>66</v>
      </c>
      <c r="C39" s="12"/>
      <c r="D39" s="70" t="s">
        <v>48</v>
      </c>
      <c r="E39" s="70" t="s">
        <v>136</v>
      </c>
      <c r="F39" s="70" t="s">
        <v>26</v>
      </c>
      <c r="G39" s="71"/>
      <c r="H39" s="71"/>
      <c r="I39" s="72"/>
      <c r="J39" s="81"/>
      <c r="K39" s="74"/>
      <c r="L39" s="82"/>
      <c r="M39" s="63"/>
      <c r="N39" s="63"/>
      <c r="O39" s="63"/>
    </row>
    <row r="40">
      <c r="A40" s="18"/>
      <c r="B40" s="74"/>
      <c r="C40" s="20"/>
      <c r="D40" s="75"/>
      <c r="E40" s="75">
        <v>4.99</v>
      </c>
      <c r="F40" s="75">
        <v>6.79</v>
      </c>
      <c r="G40" s="76">
        <f>SUM(D40,E40,F40)</f>
        <v>11.78</v>
      </c>
      <c r="H40" s="77">
        <f>AVERAGE(D40,E40,F40)</f>
        <v>5.89</v>
      </c>
      <c r="I40" s="72"/>
      <c r="J40" s="78">
        <v>4.0</v>
      </c>
      <c r="K40" s="79"/>
      <c r="L40" s="80">
        <f>H40*J40</f>
        <v>23.56</v>
      </c>
      <c r="M40" s="63"/>
      <c r="N40" s="63"/>
      <c r="O40" s="63"/>
    </row>
    <row r="41">
      <c r="A41" s="68">
        <f>A39+1</f>
        <v>20</v>
      </c>
      <c r="B41" s="69" t="s">
        <v>68</v>
      </c>
      <c r="C41" s="12"/>
      <c r="D41" s="70" t="s">
        <v>137</v>
      </c>
      <c r="E41" s="70" t="s">
        <v>70</v>
      </c>
      <c r="F41" s="70" t="s">
        <v>71</v>
      </c>
      <c r="G41" s="71"/>
      <c r="H41" s="71"/>
      <c r="I41" s="72"/>
      <c r="J41" s="81"/>
      <c r="K41" s="74"/>
      <c r="L41" s="82"/>
      <c r="M41" s="63"/>
      <c r="N41" s="63"/>
      <c r="O41" s="63"/>
    </row>
    <row r="42">
      <c r="A42" s="18"/>
      <c r="B42" s="74"/>
      <c r="C42" s="20"/>
      <c r="D42" s="75"/>
      <c r="E42" s="75"/>
      <c r="F42" s="75">
        <v>3.49</v>
      </c>
      <c r="G42" s="76">
        <f>SUM(D42,E42,F42)</f>
        <v>3.49</v>
      </c>
      <c r="H42" s="77">
        <f>AVERAGE(D42,E42,F42)</f>
        <v>3.49</v>
      </c>
      <c r="I42" s="72"/>
      <c r="J42" s="78">
        <v>4.0</v>
      </c>
      <c r="K42" s="79"/>
      <c r="L42" s="80">
        <f>H42*J42</f>
        <v>13.96</v>
      </c>
      <c r="M42" s="63"/>
      <c r="N42" s="63"/>
      <c r="O42" s="63"/>
    </row>
    <row r="43">
      <c r="A43" s="68">
        <f>A41+1</f>
        <v>21</v>
      </c>
      <c r="B43" s="69" t="s">
        <v>72</v>
      </c>
      <c r="C43" s="12"/>
      <c r="D43" s="70" t="s">
        <v>73</v>
      </c>
      <c r="E43" s="70" t="s">
        <v>74</v>
      </c>
      <c r="F43" s="70" t="s">
        <v>138</v>
      </c>
      <c r="G43" s="71"/>
      <c r="H43" s="71"/>
      <c r="I43" s="72"/>
      <c r="J43" s="81"/>
      <c r="K43" s="74"/>
      <c r="L43" s="82"/>
      <c r="M43" s="63"/>
      <c r="N43" s="63"/>
      <c r="O43" s="63"/>
    </row>
    <row r="44">
      <c r="A44" s="18"/>
      <c r="B44" s="74"/>
      <c r="C44" s="20"/>
      <c r="D44" s="75">
        <v>43.99</v>
      </c>
      <c r="E44" s="75"/>
      <c r="F44" s="75"/>
      <c r="G44" s="76">
        <f>SUM(D44,E44,F44)</f>
        <v>43.99</v>
      </c>
      <c r="H44" s="77">
        <f>AVERAGE(D44,E44,F44)</f>
        <v>43.99</v>
      </c>
      <c r="I44" s="72"/>
      <c r="J44" s="78">
        <v>3.0</v>
      </c>
      <c r="K44" s="79"/>
      <c r="L44" s="80">
        <f>H44*J44</f>
        <v>131.97</v>
      </c>
      <c r="M44" s="63"/>
      <c r="N44" s="63"/>
      <c r="O44" s="63"/>
    </row>
    <row r="45">
      <c r="A45" s="68">
        <f>A43+1</f>
        <v>22</v>
      </c>
      <c r="B45" s="69" t="s">
        <v>76</v>
      </c>
      <c r="C45" s="12"/>
      <c r="D45" s="70" t="s">
        <v>77</v>
      </c>
      <c r="E45" s="70" t="s">
        <v>78</v>
      </c>
      <c r="F45" s="70" t="s">
        <v>139</v>
      </c>
      <c r="G45" s="71"/>
      <c r="H45" s="71"/>
      <c r="I45" s="72"/>
      <c r="J45" s="81"/>
      <c r="K45" s="74"/>
      <c r="L45" s="82"/>
      <c r="M45" s="63"/>
      <c r="N45" s="63"/>
      <c r="O45" s="63"/>
    </row>
    <row r="46">
      <c r="A46" s="18"/>
      <c r="B46" s="74"/>
      <c r="C46" s="20"/>
      <c r="D46" s="75">
        <v>38.99</v>
      </c>
      <c r="E46" s="75"/>
      <c r="F46" s="75"/>
      <c r="G46" s="76">
        <f>SUM(D46,E46,F46)</f>
        <v>38.99</v>
      </c>
      <c r="H46" s="77">
        <f>AVERAGE(D46,E46,F46)</f>
        <v>38.99</v>
      </c>
      <c r="I46" s="72"/>
      <c r="J46" s="78">
        <v>4.0</v>
      </c>
      <c r="K46" s="79"/>
      <c r="L46" s="80">
        <f>H46*J46</f>
        <v>155.96</v>
      </c>
      <c r="M46" s="63"/>
      <c r="N46" s="63"/>
      <c r="O46" s="63"/>
    </row>
    <row r="47">
      <c r="A47" s="68">
        <f>A45+1</f>
        <v>23</v>
      </c>
      <c r="B47" s="69" t="s">
        <v>80</v>
      </c>
      <c r="C47" s="12"/>
      <c r="D47" s="70" t="s">
        <v>84</v>
      </c>
      <c r="E47" s="70" t="s">
        <v>82</v>
      </c>
      <c r="F47" s="70" t="s">
        <v>33</v>
      </c>
      <c r="G47" s="71"/>
      <c r="H47" s="71"/>
      <c r="I47" s="72"/>
      <c r="J47" s="81"/>
      <c r="K47" s="74"/>
      <c r="L47" s="82"/>
      <c r="M47" s="63"/>
      <c r="N47" s="63"/>
      <c r="O47" s="63"/>
    </row>
    <row r="48">
      <c r="A48" s="18"/>
      <c r="B48" s="74"/>
      <c r="C48" s="20"/>
      <c r="D48" s="75">
        <v>10.5</v>
      </c>
      <c r="E48" s="75">
        <v>10.99</v>
      </c>
      <c r="F48" s="84"/>
      <c r="G48" s="76">
        <f>SUM(D48,E48,F48)</f>
        <v>21.49</v>
      </c>
      <c r="H48" s="77">
        <f>AVERAGE(D48,E48,F48)</f>
        <v>10.745</v>
      </c>
      <c r="I48" s="72"/>
      <c r="J48" s="78">
        <v>5.0</v>
      </c>
      <c r="K48" s="79"/>
      <c r="L48" s="80">
        <f>H48*J48</f>
        <v>53.725</v>
      </c>
      <c r="M48" s="63"/>
      <c r="N48" s="63"/>
      <c r="O48" s="63"/>
    </row>
    <row r="49">
      <c r="A49" s="68">
        <f>A47+1</f>
        <v>24</v>
      </c>
      <c r="B49" s="69" t="s">
        <v>83</v>
      </c>
      <c r="C49" s="12"/>
      <c r="D49" s="70" t="s">
        <v>84</v>
      </c>
      <c r="E49" s="70" t="s">
        <v>82</v>
      </c>
      <c r="F49" s="70" t="s">
        <v>85</v>
      </c>
      <c r="G49" s="71"/>
      <c r="H49" s="71"/>
      <c r="I49" s="72"/>
      <c r="J49" s="81"/>
      <c r="K49" s="74"/>
      <c r="L49" s="82"/>
      <c r="M49" s="63"/>
      <c r="N49" s="63"/>
      <c r="O49" s="63"/>
    </row>
    <row r="50">
      <c r="A50" s="18"/>
      <c r="B50" s="74"/>
      <c r="C50" s="20"/>
      <c r="D50" s="75">
        <v>10.3</v>
      </c>
      <c r="E50" s="75"/>
      <c r="F50" s="75"/>
      <c r="G50" s="76">
        <f>SUM(D50,E50,F50)</f>
        <v>10.3</v>
      </c>
      <c r="H50" s="77">
        <f>AVERAGE(D50,E50,F50)</f>
        <v>10.3</v>
      </c>
      <c r="I50" s="72"/>
      <c r="J50" s="78">
        <v>0.5</v>
      </c>
      <c r="K50" s="79"/>
      <c r="L50" s="80">
        <f>H50*J50</f>
        <v>5.15</v>
      </c>
      <c r="M50" s="63"/>
      <c r="N50" s="63"/>
      <c r="O50" s="63"/>
    </row>
    <row r="51">
      <c r="A51" s="68">
        <f>A49+1</f>
        <v>25</v>
      </c>
      <c r="B51" s="69" t="s">
        <v>86</v>
      </c>
      <c r="C51" s="12"/>
      <c r="D51" s="83" t="s">
        <v>157</v>
      </c>
      <c r="E51" s="70" t="s">
        <v>82</v>
      </c>
      <c r="F51" s="70" t="s">
        <v>141</v>
      </c>
      <c r="G51" s="71"/>
      <c r="H51" s="71"/>
      <c r="I51" s="72"/>
      <c r="J51" s="81"/>
      <c r="K51" s="74"/>
      <c r="L51" s="82"/>
      <c r="M51" s="63"/>
      <c r="N51" s="63"/>
      <c r="O51" s="63"/>
    </row>
    <row r="52">
      <c r="A52" s="18"/>
      <c r="B52" s="74"/>
      <c r="C52" s="20"/>
      <c r="D52" s="75">
        <v>16.8</v>
      </c>
      <c r="E52" s="75">
        <v>14.9</v>
      </c>
      <c r="F52" s="75"/>
      <c r="G52" s="76">
        <f>SUM(D52,E52,F52)</f>
        <v>31.7</v>
      </c>
      <c r="H52" s="77">
        <f>AVERAGE(D52,E52,F52)</f>
        <v>15.85</v>
      </c>
      <c r="I52" s="72"/>
      <c r="J52" s="78">
        <v>0.3</v>
      </c>
      <c r="K52" s="79"/>
      <c r="L52" s="80">
        <f>H52*J52</f>
        <v>4.755</v>
      </c>
      <c r="M52" s="63"/>
      <c r="N52" s="63"/>
      <c r="O52" s="63"/>
    </row>
    <row r="53">
      <c r="A53" s="68">
        <f>A51+1</f>
        <v>26</v>
      </c>
      <c r="B53" s="69" t="s">
        <v>88</v>
      </c>
      <c r="C53" s="12"/>
      <c r="D53" s="70" t="s">
        <v>142</v>
      </c>
      <c r="E53" s="70" t="s">
        <v>90</v>
      </c>
      <c r="F53" s="70" t="s">
        <v>143</v>
      </c>
      <c r="G53" s="71"/>
      <c r="H53" s="71"/>
      <c r="I53" s="72"/>
      <c r="J53" s="81"/>
      <c r="K53" s="74"/>
      <c r="L53" s="82"/>
      <c r="M53" s="63"/>
      <c r="N53" s="63"/>
      <c r="O53" s="63"/>
    </row>
    <row r="54">
      <c r="A54" s="18"/>
      <c r="B54" s="74"/>
      <c r="C54" s="20"/>
      <c r="D54" s="75">
        <v>52.9</v>
      </c>
      <c r="E54" s="75">
        <v>52.9</v>
      </c>
      <c r="F54" s="75"/>
      <c r="G54" s="76">
        <f>SUM(D54,E54,F54)</f>
        <v>105.8</v>
      </c>
      <c r="H54" s="77">
        <f>AVERAGE(D54,E54,F54)</f>
        <v>52.9</v>
      </c>
      <c r="I54" s="85"/>
      <c r="J54" s="78">
        <v>0.5</v>
      </c>
      <c r="K54" s="85"/>
      <c r="L54" s="80">
        <f>H54*J54</f>
        <v>26.45</v>
      </c>
      <c r="M54" s="63"/>
      <c r="N54" s="63"/>
      <c r="O54" s="63"/>
    </row>
    <row r="55">
      <c r="A55" s="86" t="s">
        <v>106</v>
      </c>
      <c r="B55" s="74"/>
      <c r="C55" s="74"/>
      <c r="D55" s="74"/>
      <c r="E55" s="74"/>
      <c r="F55" s="74"/>
      <c r="G55" s="82"/>
      <c r="H55" s="87">
        <f>SUM(H4:H54)</f>
        <v>389.395</v>
      </c>
      <c r="I55" s="85"/>
      <c r="J55" s="88" t="s">
        <v>6</v>
      </c>
      <c r="K55" s="20"/>
      <c r="L55" s="89">
        <f>SUM(L4:L54)</f>
        <v>1064.391333</v>
      </c>
      <c r="M55" s="63"/>
      <c r="N55" s="63"/>
      <c r="O55" s="63"/>
    </row>
    <row r="56">
      <c r="A56" s="90" t="s">
        <v>144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</row>
    <row r="57">
      <c r="A57" s="68">
        <f>A53+1</f>
        <v>27</v>
      </c>
      <c r="B57" s="69" t="s">
        <v>145</v>
      </c>
      <c r="C57" s="12"/>
      <c r="D57" s="70" t="s">
        <v>94</v>
      </c>
      <c r="E57" s="70" t="s">
        <v>95</v>
      </c>
      <c r="F57" s="70" t="s">
        <v>96</v>
      </c>
      <c r="G57" s="71"/>
      <c r="H57" s="71"/>
      <c r="I57" s="72"/>
      <c r="J57" s="81"/>
      <c r="K57" s="74"/>
      <c r="L57" s="82"/>
      <c r="M57" s="63"/>
      <c r="N57" s="63"/>
      <c r="O57" s="63"/>
    </row>
    <row r="58">
      <c r="A58" s="18"/>
      <c r="B58" s="74"/>
      <c r="C58" s="20"/>
      <c r="D58" s="75">
        <v>7.39</v>
      </c>
      <c r="E58" s="75">
        <v>6.99</v>
      </c>
      <c r="F58" s="75"/>
      <c r="G58" s="76">
        <f>SUM(D58,E58,F58)</f>
        <v>14.38</v>
      </c>
      <c r="H58" s="77">
        <f>AVERAGE(D58,E58,F58)</f>
        <v>7.19</v>
      </c>
      <c r="I58" s="72"/>
      <c r="J58" s="78">
        <v>4.0</v>
      </c>
      <c r="K58" s="79"/>
      <c r="L58" s="80">
        <f>H58*J58</f>
        <v>28.76</v>
      </c>
      <c r="M58" s="63"/>
      <c r="N58" s="63"/>
      <c r="O58" s="63"/>
    </row>
    <row r="59">
      <c r="A59" s="68">
        <f>A57+1</f>
        <v>28</v>
      </c>
      <c r="B59" s="69" t="s">
        <v>97</v>
      </c>
      <c r="C59" s="12"/>
      <c r="D59" s="70" t="s">
        <v>99</v>
      </c>
      <c r="E59" s="70" t="s">
        <v>104</v>
      </c>
      <c r="F59" s="70" t="s">
        <v>33</v>
      </c>
      <c r="G59" s="71"/>
      <c r="H59" s="71"/>
      <c r="I59" s="72"/>
      <c r="J59" s="81"/>
      <c r="K59" s="74"/>
      <c r="L59" s="82"/>
      <c r="M59" s="63"/>
      <c r="N59" s="63"/>
      <c r="O59" s="63"/>
    </row>
    <row r="60">
      <c r="A60" s="18"/>
      <c r="B60" s="74"/>
      <c r="C60" s="20"/>
      <c r="D60" s="75">
        <v>3.99</v>
      </c>
      <c r="E60" s="75">
        <v>3.15</v>
      </c>
      <c r="F60" s="84"/>
      <c r="G60" s="76">
        <f>SUM(D60,E60,F60)</f>
        <v>7.14</v>
      </c>
      <c r="H60" s="77">
        <f>AVERAGE(D60,E60,F60)</f>
        <v>3.57</v>
      </c>
      <c r="I60" s="72"/>
      <c r="J60" s="78">
        <v>15.0</v>
      </c>
      <c r="K60" s="79"/>
      <c r="L60" s="80">
        <f>H60*J60</f>
        <v>53.55</v>
      </c>
      <c r="M60" s="63"/>
      <c r="N60" s="63"/>
      <c r="O60" s="63"/>
    </row>
    <row r="61">
      <c r="A61" s="68">
        <f>A59+1</f>
        <v>29</v>
      </c>
      <c r="B61" s="69" t="s">
        <v>100</v>
      </c>
      <c r="C61" s="12"/>
      <c r="D61" s="70" t="s">
        <v>99</v>
      </c>
      <c r="E61" s="83" t="s">
        <v>147</v>
      </c>
      <c r="F61" s="70" t="s">
        <v>148</v>
      </c>
      <c r="G61" s="71"/>
      <c r="H61" s="71"/>
      <c r="I61" s="72"/>
      <c r="J61" s="81"/>
      <c r="K61" s="74"/>
      <c r="L61" s="82"/>
      <c r="M61" s="63"/>
      <c r="N61" s="63"/>
      <c r="O61" s="63"/>
    </row>
    <row r="62">
      <c r="A62" s="18"/>
      <c r="B62" s="74"/>
      <c r="C62" s="20"/>
      <c r="D62" s="75">
        <v>3.99</v>
      </c>
      <c r="E62" s="75">
        <v>4.1</v>
      </c>
      <c r="F62" s="75"/>
      <c r="G62" s="76">
        <f>SUM(D62,E62,F62)</f>
        <v>8.09</v>
      </c>
      <c r="H62" s="77">
        <f>AVERAGE(D62,E62,F62)</f>
        <v>4.045</v>
      </c>
      <c r="I62" s="72"/>
      <c r="J62" s="78">
        <v>2.0</v>
      </c>
      <c r="K62" s="79"/>
      <c r="L62" s="80">
        <f>H62*J62</f>
        <v>8.09</v>
      </c>
      <c r="M62" s="63"/>
      <c r="N62" s="63"/>
      <c r="O62" s="63"/>
    </row>
    <row r="63">
      <c r="A63" s="68">
        <f>A61+1</f>
        <v>30</v>
      </c>
      <c r="B63" s="69" t="s">
        <v>103</v>
      </c>
      <c r="C63" s="12"/>
      <c r="D63" s="70" t="s">
        <v>99</v>
      </c>
      <c r="E63" s="70" t="s">
        <v>104</v>
      </c>
      <c r="F63" s="70" t="s">
        <v>105</v>
      </c>
      <c r="G63" s="71"/>
      <c r="H63" s="71"/>
      <c r="I63" s="72"/>
      <c r="J63" s="81"/>
      <c r="K63" s="74"/>
      <c r="L63" s="82"/>
      <c r="M63" s="63"/>
      <c r="N63" s="63"/>
      <c r="O63" s="63"/>
    </row>
    <row r="64">
      <c r="A64" s="18"/>
      <c r="B64" s="74"/>
      <c r="C64" s="20"/>
      <c r="D64" s="75">
        <v>2.69</v>
      </c>
      <c r="E64" s="75">
        <v>2.69</v>
      </c>
      <c r="F64" s="75"/>
      <c r="G64" s="76">
        <f>SUM(D64,E64,F64)</f>
        <v>5.38</v>
      </c>
      <c r="H64" s="77">
        <f>AVERAGE(D64,E64,F64)</f>
        <v>2.69</v>
      </c>
      <c r="I64" s="85"/>
      <c r="J64" s="78">
        <v>2.0</v>
      </c>
      <c r="K64" s="79"/>
      <c r="L64" s="80">
        <f>H64*J64</f>
        <v>5.38</v>
      </c>
      <c r="M64" s="63"/>
      <c r="N64" s="63"/>
      <c r="O64" s="63"/>
    </row>
    <row r="65">
      <c r="A65" s="86" t="s">
        <v>106</v>
      </c>
      <c r="B65" s="74"/>
      <c r="C65" s="74"/>
      <c r="D65" s="74"/>
      <c r="E65" s="74"/>
      <c r="F65" s="74"/>
      <c r="G65" s="82"/>
      <c r="H65" s="87">
        <f>SUM(H57:H64)</f>
        <v>17.495</v>
      </c>
      <c r="I65" s="85"/>
      <c r="J65" s="88" t="s">
        <v>6</v>
      </c>
      <c r="K65" s="20"/>
      <c r="L65" s="89">
        <f>SUM(L57:L64)</f>
        <v>95.78</v>
      </c>
      <c r="M65" s="63"/>
      <c r="N65" s="63"/>
      <c r="O65" s="63"/>
    </row>
    <row r="66">
      <c r="A66" s="90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</row>
    <row r="67">
      <c r="A67" s="68">
        <f>A63+1</f>
        <v>31</v>
      </c>
      <c r="B67" s="69" t="s">
        <v>108</v>
      </c>
      <c r="C67" s="12"/>
      <c r="D67" s="70" t="s">
        <v>109</v>
      </c>
      <c r="E67" s="70" t="s">
        <v>149</v>
      </c>
      <c r="F67" s="70" t="s">
        <v>150</v>
      </c>
      <c r="G67" s="71"/>
      <c r="H67" s="71"/>
      <c r="I67" s="72"/>
      <c r="J67" s="81"/>
      <c r="K67" s="74"/>
      <c r="L67" s="82"/>
      <c r="M67" s="63"/>
      <c r="N67" s="63"/>
      <c r="O67" s="63"/>
    </row>
    <row r="68">
      <c r="A68" s="18"/>
      <c r="B68" s="74"/>
      <c r="C68" s="20"/>
      <c r="D68" s="75">
        <v>8.99</v>
      </c>
      <c r="E68" s="75"/>
      <c r="F68" s="103"/>
      <c r="G68" s="76">
        <f>SUM(D68,E68,F68)</f>
        <v>8.99</v>
      </c>
      <c r="H68" s="77">
        <f>AVERAGE(D68,E68,F68)</f>
        <v>8.99</v>
      </c>
      <c r="I68" s="72"/>
      <c r="J68" s="78">
        <v>3.0</v>
      </c>
      <c r="K68" s="79"/>
      <c r="L68" s="80">
        <f>H68*J68</f>
        <v>26.97</v>
      </c>
      <c r="M68" s="63"/>
      <c r="N68" s="63"/>
      <c r="O68" s="63"/>
    </row>
    <row r="69">
      <c r="A69" s="68">
        <f>A67+1</f>
        <v>32</v>
      </c>
      <c r="B69" s="69" t="s">
        <v>112</v>
      </c>
      <c r="C69" s="12"/>
      <c r="D69" s="70" t="s">
        <v>113</v>
      </c>
      <c r="E69" s="70" t="s">
        <v>114</v>
      </c>
      <c r="F69" s="70" t="s">
        <v>33</v>
      </c>
      <c r="G69" s="71"/>
      <c r="H69" s="71"/>
      <c r="I69" s="72"/>
      <c r="J69" s="81"/>
      <c r="K69" s="74"/>
      <c r="L69" s="82"/>
      <c r="M69" s="63"/>
      <c r="N69" s="63"/>
      <c r="O69" s="63"/>
    </row>
    <row r="70">
      <c r="A70" s="18"/>
      <c r="B70" s="74"/>
      <c r="C70" s="20"/>
      <c r="D70" s="75">
        <v>8.49</v>
      </c>
      <c r="E70" s="75">
        <v>7.9</v>
      </c>
      <c r="F70" s="84"/>
      <c r="G70" s="76">
        <f>SUM(D70,E70,F70)</f>
        <v>16.39</v>
      </c>
      <c r="H70" s="77">
        <f>AVERAGE(D70,E70,F70)</f>
        <v>8.195</v>
      </c>
      <c r="I70" s="72"/>
      <c r="J70" s="78">
        <v>2.0</v>
      </c>
      <c r="K70" s="79"/>
      <c r="L70" s="80">
        <f>H70*J70</f>
        <v>16.39</v>
      </c>
      <c r="M70" s="63"/>
      <c r="N70" s="63"/>
      <c r="O70" s="63"/>
    </row>
    <row r="71">
      <c r="A71" s="68">
        <f>A69+1</f>
        <v>33</v>
      </c>
      <c r="B71" s="69" t="s">
        <v>115</v>
      </c>
      <c r="C71" s="12"/>
      <c r="D71" s="70" t="s">
        <v>116</v>
      </c>
      <c r="E71" s="70" t="s">
        <v>117</v>
      </c>
      <c r="F71" s="70" t="s">
        <v>33</v>
      </c>
      <c r="G71" s="71"/>
      <c r="H71" s="71"/>
      <c r="I71" s="72"/>
      <c r="J71" s="81"/>
      <c r="K71" s="74"/>
      <c r="L71" s="82"/>
      <c r="M71" s="63"/>
      <c r="N71" s="63"/>
      <c r="O71" s="63"/>
    </row>
    <row r="72">
      <c r="A72" s="18"/>
      <c r="B72" s="74"/>
      <c r="C72" s="20"/>
      <c r="D72" s="75">
        <v>5.59</v>
      </c>
      <c r="E72" s="75">
        <v>3.99</v>
      </c>
      <c r="F72" s="84"/>
      <c r="G72" s="76">
        <f>SUM(D72,E72,F72)</f>
        <v>9.58</v>
      </c>
      <c r="H72" s="77">
        <f>AVERAGE(D72,E72,F72)</f>
        <v>4.79</v>
      </c>
      <c r="I72" s="72"/>
      <c r="J72" s="78">
        <v>10.0</v>
      </c>
      <c r="K72" s="79"/>
      <c r="L72" s="80">
        <f>H72*J72</f>
        <v>47.9</v>
      </c>
      <c r="M72" s="63"/>
      <c r="N72" s="63"/>
      <c r="O72" s="63"/>
    </row>
    <row r="73">
      <c r="A73" s="68">
        <f>A71+1</f>
        <v>34</v>
      </c>
      <c r="B73" s="69" t="s">
        <v>119</v>
      </c>
      <c r="C73" s="12"/>
      <c r="D73" s="83" t="s">
        <v>151</v>
      </c>
      <c r="E73" s="83" t="s">
        <v>152</v>
      </c>
      <c r="F73" s="70" t="s">
        <v>33</v>
      </c>
      <c r="G73" s="71"/>
      <c r="H73" s="71"/>
      <c r="I73" s="72"/>
      <c r="J73" s="81"/>
      <c r="K73" s="74"/>
      <c r="L73" s="82"/>
      <c r="M73" s="63"/>
      <c r="N73" s="63"/>
      <c r="O73" s="63"/>
    </row>
    <row r="74">
      <c r="A74" s="18"/>
      <c r="B74" s="74"/>
      <c r="C74" s="20"/>
      <c r="D74" s="75">
        <v>22.99</v>
      </c>
      <c r="E74" s="75">
        <v>15.99</v>
      </c>
      <c r="F74" s="84"/>
      <c r="G74" s="76">
        <f>SUM(D74,E74,F74)</f>
        <v>38.98</v>
      </c>
      <c r="H74" s="77">
        <f>AVERAGE(D74,E74,F74)</f>
        <v>19.49</v>
      </c>
      <c r="I74" s="72"/>
      <c r="J74" s="78">
        <v>2.0</v>
      </c>
      <c r="K74" s="79"/>
      <c r="L74" s="80">
        <f>H74*J74</f>
        <v>38.98</v>
      </c>
      <c r="M74" s="63"/>
      <c r="N74" s="63"/>
      <c r="O74" s="63"/>
    </row>
    <row r="75">
      <c r="A75" s="68">
        <f>A73+1</f>
        <v>35</v>
      </c>
      <c r="B75" s="69" t="s">
        <v>122</v>
      </c>
      <c r="C75" s="12"/>
      <c r="D75" s="70" t="s">
        <v>123</v>
      </c>
      <c r="E75" s="70" t="s">
        <v>124</v>
      </c>
      <c r="F75" s="70" t="s">
        <v>33</v>
      </c>
      <c r="G75" s="71"/>
      <c r="H75" s="71"/>
      <c r="I75" s="72"/>
      <c r="J75" s="81"/>
      <c r="K75" s="74"/>
      <c r="L75" s="82"/>
      <c r="M75" s="63"/>
      <c r="N75" s="63"/>
      <c r="O75" s="63"/>
    </row>
    <row r="76">
      <c r="A76" s="18"/>
      <c r="B76" s="74"/>
      <c r="C76" s="20"/>
      <c r="D76" s="75">
        <v>7.9</v>
      </c>
      <c r="E76" s="75">
        <v>7.9</v>
      </c>
      <c r="F76" s="84"/>
      <c r="G76" s="76">
        <f>SUM(D76,E76,F76)</f>
        <v>15.8</v>
      </c>
      <c r="H76" s="77">
        <f>AVERAGE(D76,E76,F76)</f>
        <v>7.9</v>
      </c>
      <c r="I76" s="85"/>
      <c r="J76" s="78">
        <v>1.0</v>
      </c>
      <c r="K76" s="79"/>
      <c r="L76" s="80">
        <f>H76*J76</f>
        <v>7.9</v>
      </c>
      <c r="M76" s="63"/>
      <c r="N76" s="63"/>
      <c r="O76" s="63"/>
    </row>
    <row r="77">
      <c r="A77" s="86" t="s">
        <v>106</v>
      </c>
      <c r="B77" s="74"/>
      <c r="C77" s="74"/>
      <c r="D77" s="74"/>
      <c r="E77" s="74"/>
      <c r="F77" s="74"/>
      <c r="G77" s="82"/>
      <c r="H77" s="87">
        <f>SUM(H68:H76)</f>
        <v>49.365</v>
      </c>
      <c r="I77" s="85"/>
      <c r="J77" s="88" t="s">
        <v>6</v>
      </c>
      <c r="K77" s="20"/>
      <c r="L77" s="89">
        <f>SUM(L68:L76)</f>
        <v>138.14</v>
      </c>
      <c r="M77" s="63"/>
      <c r="N77" s="63"/>
      <c r="O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456.255</v>
      </c>
      <c r="I80" s="63"/>
      <c r="J80" s="72"/>
      <c r="K80" s="97" t="s">
        <v>6</v>
      </c>
      <c r="L80" s="89">
        <f>L55+L65+L77</f>
        <v>1298.311333</v>
      </c>
      <c r="M80" s="63"/>
      <c r="N80" s="63"/>
      <c r="O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  <c r="O82" s="63"/>
    </row>
    <row r="83">
      <c r="A83" s="63"/>
      <c r="B83" s="63"/>
      <c r="C83" s="63"/>
      <c r="D83" s="63"/>
      <c r="E83" s="63"/>
      <c r="F83" s="63"/>
      <c r="G83" s="63"/>
      <c r="H83" s="92"/>
      <c r="I83" s="63"/>
      <c r="J83" s="63"/>
      <c r="K83" s="63"/>
      <c r="L83" s="92"/>
      <c r="M83" s="63"/>
      <c r="N83" s="63"/>
      <c r="O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  <c r="P1" s="63"/>
      <c r="Q1" s="63"/>
    </row>
    <row r="2">
      <c r="A2" s="102" t="s">
        <v>158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  <c r="P2" s="63"/>
      <c r="Q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126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  <c r="P3" s="63"/>
      <c r="Q3" s="63"/>
    </row>
    <row r="4">
      <c r="A4" s="18"/>
      <c r="B4" s="74"/>
      <c r="C4" s="20"/>
      <c r="D4" s="75">
        <v>32.99</v>
      </c>
      <c r="E4" s="75">
        <v>28.0</v>
      </c>
      <c r="F4" s="75">
        <v>31.0</v>
      </c>
      <c r="G4" s="76">
        <f>SUM(D4,E4,F4)</f>
        <v>91.99</v>
      </c>
      <c r="H4" s="77">
        <f>AVERAGE(D4,E4,F4)</f>
        <v>30.66333333</v>
      </c>
      <c r="I4" s="72"/>
      <c r="J4" s="78">
        <v>3.0</v>
      </c>
      <c r="K4" s="79" t="s">
        <v>11</v>
      </c>
      <c r="L4" s="80">
        <f>H4*J4</f>
        <v>91.99</v>
      </c>
      <c r="M4" s="63"/>
      <c r="N4" s="63"/>
      <c r="O4" s="63"/>
      <c r="P4" s="63"/>
      <c r="Q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127</v>
      </c>
      <c r="G5" s="71"/>
      <c r="H5" s="71"/>
      <c r="I5" s="72"/>
      <c r="J5" s="81"/>
      <c r="K5" s="74"/>
      <c r="L5" s="82"/>
      <c r="M5" s="63"/>
      <c r="N5" s="63"/>
      <c r="O5" s="63"/>
      <c r="P5" s="63"/>
      <c r="Q5" s="63"/>
    </row>
    <row r="6">
      <c r="A6" s="18"/>
      <c r="B6" s="74"/>
      <c r="C6" s="20"/>
      <c r="D6" s="75">
        <v>5.49</v>
      </c>
      <c r="E6" s="75"/>
      <c r="F6" s="75">
        <v>5.8</v>
      </c>
      <c r="G6" s="76">
        <f>SUM(D6,E6,F6)</f>
        <v>11.29</v>
      </c>
      <c r="H6" s="77">
        <f>AVERAGE(D6,E6,F6)</f>
        <v>5.645</v>
      </c>
      <c r="I6" s="72"/>
      <c r="J6" s="78">
        <v>4.0</v>
      </c>
      <c r="K6" s="79"/>
      <c r="L6" s="80">
        <f>H6*J6</f>
        <v>22.58</v>
      </c>
      <c r="M6" s="63"/>
      <c r="N6" s="63"/>
      <c r="O6" s="63"/>
      <c r="P6" s="63"/>
      <c r="Q6" s="63"/>
    </row>
    <row r="7">
      <c r="A7" s="68">
        <f>A5+1</f>
        <v>3</v>
      </c>
      <c r="B7" s="69" t="s">
        <v>15</v>
      </c>
      <c r="C7" s="12"/>
      <c r="D7" s="70" t="s">
        <v>16</v>
      </c>
      <c r="E7" s="70" t="s">
        <v>129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  <c r="P7" s="63"/>
      <c r="Q7" s="63"/>
    </row>
    <row r="8">
      <c r="A8" s="18"/>
      <c r="B8" s="74"/>
      <c r="C8" s="20"/>
      <c r="D8" s="75">
        <v>17.9</v>
      </c>
      <c r="E8" s="75">
        <v>18.0</v>
      </c>
      <c r="F8" s="75"/>
      <c r="G8" s="76">
        <f>SUM(D8,E8,F8)</f>
        <v>35.9</v>
      </c>
      <c r="H8" s="77">
        <f>AVERAGE(D8,E8,F8)</f>
        <v>17.95</v>
      </c>
      <c r="I8" s="72"/>
      <c r="J8" s="78">
        <v>2.0</v>
      </c>
      <c r="K8" s="79"/>
      <c r="L8" s="80">
        <f>H8*J8</f>
        <v>35.9</v>
      </c>
      <c r="M8" s="63"/>
      <c r="N8" s="63"/>
      <c r="O8" s="63"/>
      <c r="P8" s="63"/>
      <c r="Q8" s="63"/>
    </row>
    <row r="9">
      <c r="A9" s="68">
        <f>A7+1</f>
        <v>4</v>
      </c>
      <c r="B9" s="69" t="s">
        <v>19</v>
      </c>
      <c r="C9" s="12"/>
      <c r="D9" s="70" t="s">
        <v>20</v>
      </c>
      <c r="E9" s="70" t="s">
        <v>21</v>
      </c>
      <c r="F9" s="70" t="s">
        <v>130</v>
      </c>
      <c r="G9" s="71"/>
      <c r="H9" s="71"/>
      <c r="I9" s="72"/>
      <c r="J9" s="81"/>
      <c r="K9" s="74"/>
      <c r="L9" s="82"/>
      <c r="M9" s="63"/>
      <c r="N9" s="63"/>
      <c r="O9" s="63"/>
      <c r="P9" s="63"/>
      <c r="Q9" s="63"/>
    </row>
    <row r="10">
      <c r="A10" s="18"/>
      <c r="B10" s="74"/>
      <c r="C10" s="20"/>
      <c r="D10" s="75">
        <v>22.89</v>
      </c>
      <c r="E10" s="75">
        <v>22.0</v>
      </c>
      <c r="F10" s="75"/>
      <c r="G10" s="76">
        <f>SUM(D10,E10,F10)</f>
        <v>44.89</v>
      </c>
      <c r="H10" s="77">
        <f>AVERAGE(D10,E10,F10)</f>
        <v>22.445</v>
      </c>
      <c r="I10" s="72"/>
      <c r="J10" s="78">
        <v>3.0</v>
      </c>
      <c r="K10" s="79"/>
      <c r="L10" s="80">
        <f>H10*J10</f>
        <v>67.335</v>
      </c>
      <c r="M10" s="63"/>
      <c r="N10" s="63"/>
      <c r="O10" s="63"/>
      <c r="P10" s="63"/>
      <c r="Q10" s="63"/>
    </row>
    <row r="11">
      <c r="A11" s="68">
        <f>A9+1</f>
        <v>5</v>
      </c>
      <c r="B11" s="69" t="s">
        <v>23</v>
      </c>
      <c r="C11" s="12"/>
      <c r="D11" s="70" t="s">
        <v>24</v>
      </c>
      <c r="E11" s="70" t="s">
        <v>25</v>
      </c>
      <c r="F11" s="70" t="s">
        <v>26</v>
      </c>
      <c r="G11" s="71"/>
      <c r="H11" s="71"/>
      <c r="I11" s="72"/>
      <c r="J11" s="81"/>
      <c r="K11" s="74"/>
      <c r="L11" s="82"/>
      <c r="M11" s="63"/>
      <c r="N11" s="63"/>
      <c r="O11" s="63"/>
      <c r="P11" s="63"/>
      <c r="Q11" s="63"/>
    </row>
    <row r="12">
      <c r="A12" s="18"/>
      <c r="B12" s="74"/>
      <c r="C12" s="20"/>
      <c r="D12" s="75">
        <v>6.0</v>
      </c>
      <c r="E12" s="75">
        <v>6.4</v>
      </c>
      <c r="F12" s="75"/>
      <c r="G12" s="76">
        <f>SUM(D12,E12,F12)</f>
        <v>12.4</v>
      </c>
      <c r="H12" s="77">
        <f>AVERAGE(D12,E12,F12)</f>
        <v>6.2</v>
      </c>
      <c r="I12" s="72"/>
      <c r="J12" s="78">
        <v>3.0</v>
      </c>
      <c r="K12" s="79"/>
      <c r="L12" s="80">
        <f>H12*J12</f>
        <v>18.6</v>
      </c>
      <c r="M12" s="63"/>
      <c r="N12" s="63"/>
      <c r="O12" s="63"/>
      <c r="P12" s="63"/>
      <c r="Q12" s="63"/>
    </row>
    <row r="13">
      <c r="A13" s="68">
        <f>A11+1</f>
        <v>6</v>
      </c>
      <c r="B13" s="69" t="s">
        <v>27</v>
      </c>
      <c r="C13" s="12"/>
      <c r="D13" s="70" t="s">
        <v>28</v>
      </c>
      <c r="E13" s="70" t="s">
        <v>133</v>
      </c>
      <c r="F13" s="70" t="s">
        <v>30</v>
      </c>
      <c r="G13" s="71"/>
      <c r="H13" s="71"/>
      <c r="I13" s="72"/>
      <c r="J13" s="81"/>
      <c r="K13" s="74"/>
      <c r="L13" s="82"/>
      <c r="M13" s="63"/>
      <c r="N13" s="63"/>
      <c r="O13" s="63"/>
      <c r="P13" s="63"/>
      <c r="Q13" s="63"/>
    </row>
    <row r="14">
      <c r="A14" s="18"/>
      <c r="B14" s="74"/>
      <c r="C14" s="20"/>
      <c r="D14" s="75"/>
      <c r="E14" s="75">
        <v>7.49</v>
      </c>
      <c r="F14" s="75">
        <v>10.6</v>
      </c>
      <c r="G14" s="76">
        <f>SUM(D14,E14,F14)</f>
        <v>18.09</v>
      </c>
      <c r="H14" s="77">
        <f>AVERAGE(D14,E14,F14)</f>
        <v>9.045</v>
      </c>
      <c r="I14" s="72"/>
      <c r="J14" s="78">
        <v>1.0</v>
      </c>
      <c r="K14" s="79"/>
      <c r="L14" s="80">
        <f>H14*J14</f>
        <v>9.045</v>
      </c>
      <c r="M14" s="63"/>
      <c r="N14" s="63"/>
      <c r="O14" s="63"/>
      <c r="P14" s="63"/>
      <c r="Q14" s="63"/>
    </row>
    <row r="15">
      <c r="A15" s="68">
        <f>A13+1</f>
        <v>7</v>
      </c>
      <c r="B15" s="69" t="s">
        <v>31</v>
      </c>
      <c r="C15" s="12"/>
      <c r="D15" s="70" t="s">
        <v>32</v>
      </c>
      <c r="E15" s="83" t="s">
        <v>159</v>
      </c>
      <c r="F15" s="70" t="s">
        <v>33</v>
      </c>
      <c r="G15" s="71"/>
      <c r="H15" s="71"/>
      <c r="I15" s="72"/>
      <c r="J15" s="81"/>
      <c r="K15" s="74"/>
      <c r="L15" s="82"/>
      <c r="M15" s="63"/>
      <c r="N15" s="63"/>
      <c r="O15" s="63"/>
      <c r="P15" s="63"/>
      <c r="Q15" s="63"/>
    </row>
    <row r="16">
      <c r="A16" s="18"/>
      <c r="B16" s="74"/>
      <c r="C16" s="20"/>
      <c r="D16" s="75">
        <v>5.0</v>
      </c>
      <c r="E16" s="84"/>
      <c r="F16" s="84"/>
      <c r="G16" s="76">
        <f>SUM(D16,E16,F16)</f>
        <v>5</v>
      </c>
      <c r="H16" s="77">
        <f>AVERAGE(D16,E16,F16)</f>
        <v>5</v>
      </c>
      <c r="I16" s="72"/>
      <c r="J16" s="78">
        <v>4.0</v>
      </c>
      <c r="K16" s="79"/>
      <c r="L16" s="80">
        <f>H16*J16</f>
        <v>20</v>
      </c>
      <c r="M16" s="63"/>
      <c r="N16" s="63"/>
      <c r="O16" s="63"/>
      <c r="P16" s="63"/>
      <c r="Q16" s="63"/>
    </row>
    <row r="17">
      <c r="A17" s="68">
        <f>A15+1</f>
        <v>8</v>
      </c>
      <c r="B17" s="69" t="s">
        <v>34</v>
      </c>
      <c r="C17" s="12"/>
      <c r="D17" s="70" t="s">
        <v>35</v>
      </c>
      <c r="E17" s="70" t="s">
        <v>33</v>
      </c>
      <c r="F17" s="70" t="s">
        <v>33</v>
      </c>
      <c r="G17" s="71"/>
      <c r="H17" s="71"/>
      <c r="I17" s="72"/>
      <c r="J17" s="81"/>
      <c r="K17" s="74"/>
      <c r="L17" s="82"/>
      <c r="M17" s="63"/>
      <c r="N17" s="63"/>
      <c r="O17" s="63"/>
      <c r="P17" s="63"/>
      <c r="Q17" s="63"/>
    </row>
    <row r="18">
      <c r="A18" s="18"/>
      <c r="B18" s="74"/>
      <c r="C18" s="20"/>
      <c r="D18" s="75">
        <v>5.9</v>
      </c>
      <c r="E18" s="84"/>
      <c r="F18" s="84"/>
      <c r="G18" s="76">
        <f>SUM(D18,E18,F18)</f>
        <v>5.9</v>
      </c>
      <c r="H18" s="77">
        <f>AVERAGE(D18,E18,F18)</f>
        <v>5.9</v>
      </c>
      <c r="I18" s="72"/>
      <c r="J18" s="78">
        <v>1.0</v>
      </c>
      <c r="K18" s="79"/>
      <c r="L18" s="80">
        <f>H18*J18</f>
        <v>5.9</v>
      </c>
      <c r="M18" s="63"/>
      <c r="N18" s="63"/>
      <c r="O18" s="63"/>
      <c r="P18" s="63"/>
      <c r="Q18" s="63"/>
    </row>
    <row r="19">
      <c r="A19" s="68">
        <f>A17+1</f>
        <v>9</v>
      </c>
      <c r="B19" s="69" t="s">
        <v>36</v>
      </c>
      <c r="C19" s="12"/>
      <c r="D19" s="70" t="s">
        <v>37</v>
      </c>
      <c r="E19" s="70" t="s">
        <v>33</v>
      </c>
      <c r="F19" s="70" t="s">
        <v>33</v>
      </c>
      <c r="G19" s="71"/>
      <c r="H19" s="71"/>
      <c r="I19" s="72"/>
      <c r="J19" s="81"/>
      <c r="K19" s="74"/>
      <c r="L19" s="82"/>
      <c r="M19" s="63"/>
      <c r="N19" s="63"/>
      <c r="O19" s="63"/>
      <c r="P19" s="63"/>
      <c r="Q19" s="63"/>
    </row>
    <row r="20">
      <c r="A20" s="18"/>
      <c r="B20" s="74"/>
      <c r="C20" s="20"/>
      <c r="D20" s="75">
        <v>8.3</v>
      </c>
      <c r="E20" s="84"/>
      <c r="F20" s="84"/>
      <c r="G20" s="76">
        <f>SUM(D20,E20,F20)</f>
        <v>8.3</v>
      </c>
      <c r="H20" s="77">
        <f>AVERAGE(D20,E20,F20)</f>
        <v>8.3</v>
      </c>
      <c r="I20" s="72"/>
      <c r="J20" s="78">
        <v>9.0</v>
      </c>
      <c r="K20" s="79"/>
      <c r="L20" s="80">
        <f>H20*J20</f>
        <v>74.7</v>
      </c>
      <c r="M20" s="63"/>
      <c r="N20" s="63"/>
      <c r="O20" s="63"/>
      <c r="P20" s="63"/>
      <c r="Q20" s="63"/>
    </row>
    <row r="21">
      <c r="A21" s="68">
        <f>A19+1</f>
        <v>10</v>
      </c>
      <c r="B21" s="69" t="s">
        <v>38</v>
      </c>
      <c r="C21" s="12"/>
      <c r="D21" s="70" t="s">
        <v>39</v>
      </c>
      <c r="E21" s="70" t="s">
        <v>33</v>
      </c>
      <c r="F21" s="70" t="s">
        <v>33</v>
      </c>
      <c r="G21" s="71"/>
      <c r="H21" s="71"/>
      <c r="I21" s="72"/>
      <c r="J21" s="81"/>
      <c r="K21" s="74"/>
      <c r="L21" s="82"/>
      <c r="M21" s="63"/>
      <c r="N21" s="63"/>
      <c r="O21" s="63"/>
      <c r="P21" s="63"/>
      <c r="Q21" s="63"/>
    </row>
    <row r="22">
      <c r="A22" s="18"/>
      <c r="B22" s="74"/>
      <c r="C22" s="20"/>
      <c r="D22" s="75">
        <v>32.0</v>
      </c>
      <c r="E22" s="84"/>
      <c r="F22" s="84"/>
      <c r="G22" s="76">
        <f>SUM(D22,E22,F22)</f>
        <v>32</v>
      </c>
      <c r="H22" s="77">
        <f>AVERAGE(D22,E22,F22)</f>
        <v>32</v>
      </c>
      <c r="I22" s="72"/>
      <c r="J22" s="78">
        <v>0.2</v>
      </c>
      <c r="K22" s="79"/>
      <c r="L22" s="80">
        <f>H22*J22</f>
        <v>6.4</v>
      </c>
      <c r="M22" s="63"/>
      <c r="N22" s="63"/>
      <c r="O22" s="63"/>
      <c r="P22" s="63"/>
      <c r="Q22" s="63"/>
    </row>
    <row r="23">
      <c r="A23" s="68">
        <f>A21+1</f>
        <v>11</v>
      </c>
      <c r="B23" s="69" t="s">
        <v>40</v>
      </c>
      <c r="C23" s="12"/>
      <c r="D23" s="70" t="s">
        <v>41</v>
      </c>
      <c r="E23" s="83" t="s">
        <v>42</v>
      </c>
      <c r="F23" s="70" t="s">
        <v>33</v>
      </c>
      <c r="G23" s="71"/>
      <c r="H23" s="71"/>
      <c r="I23" s="72"/>
      <c r="J23" s="81"/>
      <c r="K23" s="74"/>
      <c r="L23" s="82"/>
      <c r="M23" s="63"/>
      <c r="N23" s="63"/>
      <c r="O23" s="63"/>
      <c r="P23" s="63"/>
      <c r="Q23" s="63"/>
    </row>
    <row r="24">
      <c r="A24" s="18"/>
      <c r="B24" s="74"/>
      <c r="C24" s="20"/>
      <c r="D24" s="75">
        <v>10.99</v>
      </c>
      <c r="E24" s="75"/>
      <c r="F24" s="103"/>
      <c r="G24" s="76">
        <f>SUM(D24,E24,F24)</f>
        <v>10.99</v>
      </c>
      <c r="H24" s="77">
        <f>AVERAGE(D24,E24,F24)</f>
        <v>10.99</v>
      </c>
      <c r="I24" s="72"/>
      <c r="J24" s="78">
        <v>3.0</v>
      </c>
      <c r="K24" s="79"/>
      <c r="L24" s="80">
        <f>H24*J24</f>
        <v>32.97</v>
      </c>
      <c r="M24" s="63"/>
      <c r="N24" s="63"/>
      <c r="O24" s="63"/>
      <c r="P24" s="63"/>
      <c r="Q24" s="63"/>
    </row>
    <row r="25">
      <c r="A25" s="68">
        <f>A23+1</f>
        <v>12</v>
      </c>
      <c r="B25" s="69" t="s">
        <v>43</v>
      </c>
      <c r="C25" s="12"/>
      <c r="D25" s="70" t="s">
        <v>44</v>
      </c>
      <c r="E25" s="70" t="s">
        <v>45</v>
      </c>
      <c r="F25" s="70" t="s">
        <v>46</v>
      </c>
      <c r="G25" s="71"/>
      <c r="H25" s="71"/>
      <c r="I25" s="72"/>
      <c r="J25" s="81"/>
      <c r="K25" s="74"/>
      <c r="L25" s="82"/>
      <c r="M25" s="63"/>
      <c r="N25" s="63"/>
      <c r="O25" s="63"/>
      <c r="P25" s="63"/>
      <c r="Q25" s="63"/>
    </row>
    <row r="26">
      <c r="A26" s="18"/>
      <c r="B26" s="74"/>
      <c r="C26" s="20"/>
      <c r="D26" s="75">
        <v>5.89</v>
      </c>
      <c r="E26" s="75">
        <v>5.19</v>
      </c>
      <c r="F26" s="75"/>
      <c r="G26" s="76">
        <f>SUM(D26,E26,F26)</f>
        <v>11.08</v>
      </c>
      <c r="H26" s="77">
        <f>AVERAGE(D26,E26,F26)</f>
        <v>5.54</v>
      </c>
      <c r="I26" s="72"/>
      <c r="J26" s="78">
        <v>4.0</v>
      </c>
      <c r="K26" s="79"/>
      <c r="L26" s="80">
        <f>H26*J26</f>
        <v>22.16</v>
      </c>
      <c r="M26" s="63"/>
      <c r="N26" s="63"/>
      <c r="O26" s="63"/>
      <c r="P26" s="63"/>
      <c r="Q26" s="63"/>
    </row>
    <row r="27">
      <c r="A27" s="68">
        <f>A25+1</f>
        <v>13</v>
      </c>
      <c r="B27" s="69" t="s">
        <v>47</v>
      </c>
      <c r="C27" s="12"/>
      <c r="D27" s="70" t="s">
        <v>48</v>
      </c>
      <c r="E27" s="70" t="s">
        <v>90</v>
      </c>
      <c r="F27" s="70" t="s">
        <v>50</v>
      </c>
      <c r="G27" s="71"/>
      <c r="H27" s="71"/>
      <c r="I27" s="72"/>
      <c r="J27" s="81"/>
      <c r="K27" s="74"/>
      <c r="L27" s="82"/>
      <c r="M27" s="63"/>
      <c r="N27" s="63"/>
      <c r="O27" s="63"/>
      <c r="P27" s="63"/>
      <c r="Q27" s="63"/>
    </row>
    <row r="28">
      <c r="A28" s="18"/>
      <c r="B28" s="74"/>
      <c r="C28" s="20"/>
      <c r="D28" s="75"/>
      <c r="E28" s="75">
        <v>1.89</v>
      </c>
      <c r="F28" s="75">
        <v>1.89</v>
      </c>
      <c r="G28" s="76">
        <f>SUM(D28,E28,F28)</f>
        <v>3.78</v>
      </c>
      <c r="H28" s="77">
        <f>AVERAGE(D28,E28,F28)</f>
        <v>1.89</v>
      </c>
      <c r="I28" s="72"/>
      <c r="J28" s="78">
        <v>2.0</v>
      </c>
      <c r="K28" s="79"/>
      <c r="L28" s="80">
        <f>H28*J28</f>
        <v>3.78</v>
      </c>
      <c r="M28" s="63"/>
      <c r="N28" s="63"/>
      <c r="O28" s="63"/>
      <c r="P28" s="63"/>
      <c r="Q28" s="63"/>
    </row>
    <row r="29">
      <c r="A29" s="68">
        <f>A27+1</f>
        <v>14</v>
      </c>
      <c r="B29" s="69" t="s">
        <v>51</v>
      </c>
      <c r="C29" s="12"/>
      <c r="D29" s="70" t="s">
        <v>52</v>
      </c>
      <c r="E29" s="70" t="s">
        <v>33</v>
      </c>
      <c r="F29" s="70" t="s">
        <v>33</v>
      </c>
      <c r="G29" s="71"/>
      <c r="H29" s="71"/>
      <c r="I29" s="72"/>
      <c r="J29" s="81"/>
      <c r="K29" s="74"/>
      <c r="L29" s="82"/>
      <c r="M29" s="63"/>
      <c r="N29" s="63"/>
      <c r="O29" s="63"/>
      <c r="P29" s="63"/>
      <c r="Q29" s="63"/>
    </row>
    <row r="30">
      <c r="A30" s="18"/>
      <c r="B30" s="74"/>
      <c r="C30" s="20"/>
      <c r="D30" s="75">
        <v>14.99</v>
      </c>
      <c r="E30" s="84"/>
      <c r="F30" s="84"/>
      <c r="G30" s="76">
        <f>SUM(D30,E30,F30)</f>
        <v>14.99</v>
      </c>
      <c r="H30" s="77">
        <f>AVERAGE(D30,E30,F30)</f>
        <v>14.99</v>
      </c>
      <c r="I30" s="72"/>
      <c r="J30" s="78">
        <v>6.0</v>
      </c>
      <c r="K30" s="79"/>
      <c r="L30" s="80">
        <f>H30*J30</f>
        <v>89.94</v>
      </c>
      <c r="M30" s="63"/>
      <c r="N30" s="63"/>
      <c r="O30" s="63"/>
      <c r="P30" s="63"/>
      <c r="Q30" s="63"/>
    </row>
    <row r="31">
      <c r="A31" s="68">
        <f>A29+1</f>
        <v>15</v>
      </c>
      <c r="B31" s="69" t="s">
        <v>53</v>
      </c>
      <c r="C31" s="12"/>
      <c r="D31" s="70" t="s">
        <v>54</v>
      </c>
      <c r="E31" s="70" t="s">
        <v>55</v>
      </c>
      <c r="F31" s="70" t="s">
        <v>33</v>
      </c>
      <c r="G31" s="71"/>
      <c r="H31" s="71"/>
      <c r="I31" s="72"/>
      <c r="J31" s="81"/>
      <c r="K31" s="74"/>
      <c r="L31" s="82"/>
      <c r="M31" s="63"/>
      <c r="N31" s="63"/>
      <c r="O31" s="63"/>
      <c r="P31" s="63"/>
      <c r="Q31" s="63"/>
    </row>
    <row r="32">
      <c r="A32" s="18"/>
      <c r="B32" s="74"/>
      <c r="C32" s="20"/>
      <c r="D32" s="75">
        <v>3.6</v>
      </c>
      <c r="E32" s="75"/>
      <c r="F32" s="84"/>
      <c r="G32" s="76">
        <f>SUM(D32,E32,F32)</f>
        <v>3.6</v>
      </c>
      <c r="H32" s="77">
        <f>AVERAGE(D32,E32,F32)</f>
        <v>3.6</v>
      </c>
      <c r="I32" s="72"/>
      <c r="J32" s="78">
        <v>7.5</v>
      </c>
      <c r="K32" s="79"/>
      <c r="L32" s="80">
        <f>H32*J32</f>
        <v>27</v>
      </c>
      <c r="M32" s="63"/>
      <c r="N32" s="63"/>
      <c r="O32" s="63"/>
      <c r="P32" s="63"/>
      <c r="Q32" s="63"/>
    </row>
    <row r="33">
      <c r="A33" s="68">
        <f>A31+1</f>
        <v>16</v>
      </c>
      <c r="B33" s="69" t="s">
        <v>56</v>
      </c>
      <c r="C33" s="12"/>
      <c r="D33" s="70" t="s">
        <v>57</v>
      </c>
      <c r="E33" s="70" t="s">
        <v>134</v>
      </c>
      <c r="F33" s="70" t="s">
        <v>59</v>
      </c>
      <c r="G33" s="71"/>
      <c r="H33" s="71"/>
      <c r="I33" s="72"/>
      <c r="J33" s="81"/>
      <c r="K33" s="74"/>
      <c r="L33" s="82"/>
      <c r="M33" s="63"/>
      <c r="N33" s="63"/>
      <c r="O33" s="63"/>
      <c r="P33" s="63"/>
      <c r="Q33" s="63"/>
    </row>
    <row r="34">
      <c r="A34" s="18"/>
      <c r="B34" s="74"/>
      <c r="C34" s="20"/>
      <c r="D34" s="75">
        <v>8.39</v>
      </c>
      <c r="E34" s="103"/>
      <c r="F34" s="103"/>
      <c r="G34" s="76">
        <f>SUM(D34,E34,F34)</f>
        <v>8.39</v>
      </c>
      <c r="H34" s="77">
        <f>AVERAGE(D34,E34,F34)</f>
        <v>8.39</v>
      </c>
      <c r="I34" s="72"/>
      <c r="J34" s="78">
        <v>5.0</v>
      </c>
      <c r="K34" s="79"/>
      <c r="L34" s="80">
        <f>H34*J34</f>
        <v>41.95</v>
      </c>
      <c r="M34" s="63"/>
      <c r="N34" s="63"/>
      <c r="O34" s="63"/>
      <c r="P34" s="63"/>
      <c r="Q34" s="63"/>
    </row>
    <row r="35">
      <c r="A35" s="68">
        <f>A33+1</f>
        <v>17</v>
      </c>
      <c r="B35" s="69" t="s">
        <v>60</v>
      </c>
      <c r="C35" s="12"/>
      <c r="D35" s="70" t="s">
        <v>61</v>
      </c>
      <c r="E35" s="70" t="s">
        <v>62</v>
      </c>
      <c r="F35" s="70" t="s">
        <v>63</v>
      </c>
      <c r="G35" s="71"/>
      <c r="H35" s="71"/>
      <c r="I35" s="72"/>
      <c r="J35" s="81"/>
      <c r="K35" s="74"/>
      <c r="L35" s="82"/>
      <c r="M35" s="63"/>
      <c r="N35" s="63"/>
      <c r="O35" s="63"/>
      <c r="P35" s="63"/>
      <c r="Q35" s="63"/>
    </row>
    <row r="36">
      <c r="A36" s="18"/>
      <c r="B36" s="74"/>
      <c r="C36" s="20"/>
      <c r="D36" s="75">
        <v>5.15</v>
      </c>
      <c r="E36" s="75">
        <v>4.99</v>
      </c>
      <c r="F36" s="75"/>
      <c r="G36" s="76">
        <f>SUM(D36,E36,F36)</f>
        <v>10.14</v>
      </c>
      <c r="H36" s="77">
        <f>AVERAGE(D36,E36,F36)</f>
        <v>5.07</v>
      </c>
      <c r="I36" s="72"/>
      <c r="J36" s="78">
        <v>7.5</v>
      </c>
      <c r="K36" s="79"/>
      <c r="L36" s="80">
        <f>H36*J36</f>
        <v>38.025</v>
      </c>
      <c r="M36" s="63"/>
      <c r="N36" s="63"/>
      <c r="O36" s="63"/>
      <c r="P36" s="63"/>
      <c r="Q36" s="63"/>
    </row>
    <row r="37">
      <c r="A37" s="68">
        <f>A35+1</f>
        <v>18</v>
      </c>
      <c r="B37" s="69" t="s">
        <v>64</v>
      </c>
      <c r="C37" s="12"/>
      <c r="D37" s="70" t="s">
        <v>61</v>
      </c>
      <c r="E37" s="70" t="s">
        <v>135</v>
      </c>
      <c r="F37" s="70" t="s">
        <v>63</v>
      </c>
      <c r="G37" s="71"/>
      <c r="H37" s="71"/>
      <c r="I37" s="72"/>
      <c r="J37" s="81"/>
      <c r="K37" s="74"/>
      <c r="L37" s="82"/>
      <c r="M37" s="63"/>
      <c r="N37" s="63"/>
      <c r="O37" s="63"/>
      <c r="P37" s="63"/>
      <c r="Q37" s="63"/>
    </row>
    <row r="38">
      <c r="A38" s="18"/>
      <c r="B38" s="74"/>
      <c r="C38" s="20"/>
      <c r="D38" s="75"/>
      <c r="E38" s="75">
        <v>16.89</v>
      </c>
      <c r="F38" s="75"/>
      <c r="G38" s="76">
        <f>SUM(D38,E38,F38)</f>
        <v>16.89</v>
      </c>
      <c r="H38" s="77">
        <f>AVERAGE(D38,E38,F38)</f>
        <v>16.89</v>
      </c>
      <c r="I38" s="72"/>
      <c r="J38" s="78">
        <v>3.0</v>
      </c>
      <c r="K38" s="79"/>
      <c r="L38" s="80">
        <f>H38*J38</f>
        <v>50.67</v>
      </c>
      <c r="M38" s="63"/>
      <c r="N38" s="63"/>
      <c r="O38" s="63"/>
      <c r="P38" s="63"/>
      <c r="Q38" s="63"/>
    </row>
    <row r="39">
      <c r="A39" s="68">
        <f>A37+1</f>
        <v>19</v>
      </c>
      <c r="B39" s="69" t="s">
        <v>66</v>
      </c>
      <c r="C39" s="12"/>
      <c r="D39" s="70" t="s">
        <v>48</v>
      </c>
      <c r="E39" s="70" t="s">
        <v>136</v>
      </c>
      <c r="F39" s="70" t="s">
        <v>26</v>
      </c>
      <c r="G39" s="71"/>
      <c r="H39" s="71"/>
      <c r="I39" s="72"/>
      <c r="J39" s="81"/>
      <c r="K39" s="74"/>
      <c r="L39" s="82"/>
      <c r="M39" s="63"/>
      <c r="N39" s="63"/>
      <c r="O39" s="63"/>
      <c r="P39" s="63"/>
      <c r="Q39" s="63"/>
    </row>
    <row r="40">
      <c r="A40" s="18"/>
      <c r="B40" s="74"/>
      <c r="C40" s="20"/>
      <c r="D40" s="75">
        <v>4.99</v>
      </c>
      <c r="E40" s="75">
        <v>5.3</v>
      </c>
      <c r="F40" s="75"/>
      <c r="G40" s="76">
        <f>SUM(D40,E40,F40)</f>
        <v>10.29</v>
      </c>
      <c r="H40" s="77">
        <f>AVERAGE(D40,E40,F40)</f>
        <v>5.145</v>
      </c>
      <c r="I40" s="72"/>
      <c r="J40" s="78">
        <v>4.0</v>
      </c>
      <c r="K40" s="79"/>
      <c r="L40" s="80">
        <f>H40*J40</f>
        <v>20.58</v>
      </c>
      <c r="M40" s="63"/>
      <c r="N40" s="63"/>
      <c r="O40" s="63"/>
      <c r="P40" s="63"/>
      <c r="Q40" s="63"/>
    </row>
    <row r="41">
      <c r="A41" s="68">
        <f>A39+1</f>
        <v>20</v>
      </c>
      <c r="B41" s="69" t="s">
        <v>68</v>
      </c>
      <c r="C41" s="12"/>
      <c r="D41" s="70" t="s">
        <v>137</v>
      </c>
      <c r="E41" s="70" t="s">
        <v>70</v>
      </c>
      <c r="F41" s="70" t="s">
        <v>71</v>
      </c>
      <c r="G41" s="71"/>
      <c r="H41" s="71"/>
      <c r="I41" s="72"/>
      <c r="J41" s="81"/>
      <c r="K41" s="74"/>
      <c r="L41" s="82"/>
      <c r="M41" s="63"/>
      <c r="N41" s="63"/>
      <c r="O41" s="63"/>
      <c r="P41" s="63"/>
      <c r="Q41" s="63"/>
    </row>
    <row r="42">
      <c r="A42" s="18"/>
      <c r="B42" s="74"/>
      <c r="C42" s="20"/>
      <c r="D42" s="75"/>
      <c r="E42" s="75"/>
      <c r="F42" s="75">
        <v>3.75</v>
      </c>
      <c r="G42" s="76">
        <f>SUM(D42,E42,F42)</f>
        <v>3.75</v>
      </c>
      <c r="H42" s="77">
        <f>AVERAGE(D42,E42,F42)</f>
        <v>3.75</v>
      </c>
      <c r="I42" s="72"/>
      <c r="J42" s="78">
        <v>4.0</v>
      </c>
      <c r="K42" s="79"/>
      <c r="L42" s="80">
        <f>H42*J42</f>
        <v>15</v>
      </c>
      <c r="M42" s="63"/>
      <c r="N42" s="63"/>
      <c r="O42" s="63"/>
      <c r="P42" s="63"/>
      <c r="Q42" s="63"/>
    </row>
    <row r="43">
      <c r="A43" s="68">
        <f>A41+1</f>
        <v>21</v>
      </c>
      <c r="B43" s="69" t="s">
        <v>72</v>
      </c>
      <c r="C43" s="12"/>
      <c r="D43" s="70" t="s">
        <v>73</v>
      </c>
      <c r="E43" s="70" t="s">
        <v>74</v>
      </c>
      <c r="F43" s="70" t="s">
        <v>138</v>
      </c>
      <c r="G43" s="71"/>
      <c r="H43" s="71"/>
      <c r="I43" s="72"/>
      <c r="J43" s="81"/>
      <c r="K43" s="74"/>
      <c r="L43" s="82"/>
      <c r="M43" s="63"/>
      <c r="N43" s="63"/>
      <c r="O43" s="63"/>
      <c r="P43" s="63"/>
      <c r="Q43" s="63"/>
    </row>
    <row r="44">
      <c r="A44" s="18"/>
      <c r="B44" s="74"/>
      <c r="C44" s="20"/>
      <c r="D44" s="75">
        <v>45.99</v>
      </c>
      <c r="E44" s="75"/>
      <c r="F44" s="75">
        <v>42.89</v>
      </c>
      <c r="G44" s="76">
        <f>SUM(D44,E44,F44)</f>
        <v>88.88</v>
      </c>
      <c r="H44" s="77">
        <f>AVERAGE(D44,E44,F44)</f>
        <v>44.44</v>
      </c>
      <c r="I44" s="72"/>
      <c r="J44" s="78">
        <v>3.0</v>
      </c>
      <c r="K44" s="79"/>
      <c r="L44" s="80">
        <f>H44*J44</f>
        <v>133.32</v>
      </c>
      <c r="M44" s="63"/>
      <c r="N44" s="63"/>
      <c r="O44" s="63"/>
      <c r="P44" s="63"/>
      <c r="Q44" s="63"/>
    </row>
    <row r="45">
      <c r="A45" s="68">
        <f>A43+1</f>
        <v>22</v>
      </c>
      <c r="B45" s="69" t="s">
        <v>76</v>
      </c>
      <c r="C45" s="12"/>
      <c r="D45" s="70" t="s">
        <v>77</v>
      </c>
      <c r="E45" s="70" t="s">
        <v>78</v>
      </c>
      <c r="F45" s="70" t="s">
        <v>139</v>
      </c>
      <c r="G45" s="71"/>
      <c r="H45" s="71"/>
      <c r="I45" s="72"/>
      <c r="J45" s="81"/>
      <c r="K45" s="74"/>
      <c r="L45" s="82"/>
      <c r="M45" s="63"/>
      <c r="N45" s="63"/>
      <c r="O45" s="63"/>
      <c r="P45" s="63"/>
      <c r="Q45" s="63"/>
    </row>
    <row r="46">
      <c r="A46" s="18"/>
      <c r="B46" s="74"/>
      <c r="C46" s="20"/>
      <c r="D46" s="75">
        <v>32.99</v>
      </c>
      <c r="E46" s="75">
        <v>25.0</v>
      </c>
      <c r="F46" s="75"/>
      <c r="G46" s="76">
        <f>SUM(D46,E46,F46)</f>
        <v>57.99</v>
      </c>
      <c r="H46" s="77">
        <f>AVERAGE(D46,E46,F46)</f>
        <v>28.995</v>
      </c>
      <c r="I46" s="72"/>
      <c r="J46" s="78">
        <v>4.0</v>
      </c>
      <c r="K46" s="79"/>
      <c r="L46" s="80">
        <f>H46*J46</f>
        <v>115.98</v>
      </c>
      <c r="M46" s="63"/>
      <c r="N46" s="63"/>
      <c r="O46" s="63"/>
      <c r="P46" s="63"/>
      <c r="Q46" s="63"/>
    </row>
    <row r="47">
      <c r="A47" s="68">
        <f>A45+1</f>
        <v>23</v>
      </c>
      <c r="B47" s="69" t="s">
        <v>80</v>
      </c>
      <c r="C47" s="12"/>
      <c r="D47" s="70" t="s">
        <v>84</v>
      </c>
      <c r="E47" s="70" t="s">
        <v>82</v>
      </c>
      <c r="F47" s="70" t="s">
        <v>33</v>
      </c>
      <c r="G47" s="71"/>
      <c r="H47" s="71"/>
      <c r="I47" s="72"/>
      <c r="J47" s="81"/>
      <c r="K47" s="74"/>
      <c r="L47" s="82"/>
      <c r="M47" s="63"/>
      <c r="N47" s="63"/>
      <c r="O47" s="63"/>
      <c r="P47" s="63"/>
      <c r="Q47" s="63"/>
    </row>
    <row r="48">
      <c r="A48" s="18"/>
      <c r="B48" s="74"/>
      <c r="C48" s="20"/>
      <c r="D48" s="75">
        <v>8.99</v>
      </c>
      <c r="E48" s="104">
        <v>10.3</v>
      </c>
      <c r="F48" s="84"/>
      <c r="G48" s="76">
        <f>SUM(D48,E48,F48)</f>
        <v>19.29</v>
      </c>
      <c r="H48" s="77">
        <f>AVERAGE(D48,E48,F48)</f>
        <v>9.645</v>
      </c>
      <c r="I48" s="72"/>
      <c r="J48" s="78">
        <v>5.0</v>
      </c>
      <c r="K48" s="79"/>
      <c r="L48" s="80">
        <f>H48*J48</f>
        <v>48.225</v>
      </c>
      <c r="M48" s="63"/>
      <c r="N48" s="63"/>
      <c r="O48" s="63"/>
      <c r="P48" s="63"/>
      <c r="Q48" s="63"/>
    </row>
    <row r="49">
      <c r="A49" s="68">
        <f>A47+1</f>
        <v>24</v>
      </c>
      <c r="B49" s="69" t="s">
        <v>83</v>
      </c>
      <c r="C49" s="12"/>
      <c r="D49" s="70" t="s">
        <v>84</v>
      </c>
      <c r="E49" s="70" t="s">
        <v>82</v>
      </c>
      <c r="F49" s="70" t="s">
        <v>85</v>
      </c>
      <c r="G49" s="71"/>
      <c r="H49" s="71"/>
      <c r="I49" s="72"/>
      <c r="J49" s="81"/>
      <c r="K49" s="74"/>
      <c r="L49" s="82"/>
      <c r="M49" s="63"/>
      <c r="N49" s="63"/>
      <c r="O49" s="63"/>
      <c r="P49" s="63"/>
      <c r="Q49" s="63"/>
    </row>
    <row r="50">
      <c r="A50" s="18"/>
      <c r="B50" s="74"/>
      <c r="C50" s="20"/>
      <c r="D50" s="75">
        <v>11.6</v>
      </c>
      <c r="E50" s="75"/>
      <c r="F50" s="75"/>
      <c r="G50" s="76">
        <f>SUM(D50,E50,F50)</f>
        <v>11.6</v>
      </c>
      <c r="H50" s="77">
        <f>AVERAGE(D50,E50,F50)</f>
        <v>11.6</v>
      </c>
      <c r="I50" s="72"/>
      <c r="J50" s="78">
        <v>0.5</v>
      </c>
      <c r="K50" s="79"/>
      <c r="L50" s="80">
        <f>H50*J50</f>
        <v>5.8</v>
      </c>
      <c r="M50" s="63"/>
      <c r="N50" s="63"/>
      <c r="O50" s="63"/>
      <c r="P50" s="63"/>
      <c r="Q50" s="63"/>
    </row>
    <row r="51">
      <c r="A51" s="68">
        <f>A49+1</f>
        <v>25</v>
      </c>
      <c r="B51" s="69" t="s">
        <v>86</v>
      </c>
      <c r="C51" s="12"/>
      <c r="D51" s="70" t="s">
        <v>84</v>
      </c>
      <c r="E51" s="83" t="s">
        <v>82</v>
      </c>
      <c r="F51" s="83" t="s">
        <v>141</v>
      </c>
      <c r="G51" s="71"/>
      <c r="H51" s="71"/>
      <c r="I51" s="72"/>
      <c r="J51" s="81"/>
      <c r="K51" s="74"/>
      <c r="L51" s="82"/>
      <c r="M51" s="63"/>
      <c r="N51" s="63"/>
      <c r="O51" s="63"/>
      <c r="P51" s="63"/>
      <c r="Q51" s="63"/>
    </row>
    <row r="52">
      <c r="A52" s="18"/>
      <c r="B52" s="74"/>
      <c r="C52" s="20"/>
      <c r="D52" s="75">
        <v>16.8</v>
      </c>
      <c r="E52" s="75">
        <v>16.8</v>
      </c>
      <c r="F52" s="75"/>
      <c r="G52" s="76">
        <f>SUM(D52,E52,F52)</f>
        <v>33.6</v>
      </c>
      <c r="H52" s="77">
        <f>AVERAGE(D52,E52,F52)</f>
        <v>16.8</v>
      </c>
      <c r="I52" s="72"/>
      <c r="J52" s="78">
        <v>0.3</v>
      </c>
      <c r="K52" s="79"/>
      <c r="L52" s="80">
        <f>H52*J52</f>
        <v>5.04</v>
      </c>
      <c r="M52" s="63"/>
      <c r="N52" s="63"/>
      <c r="O52" s="63"/>
      <c r="P52" s="63"/>
      <c r="Q52" s="63"/>
    </row>
    <row r="53">
      <c r="A53" s="68">
        <f>A51+1</f>
        <v>26</v>
      </c>
      <c r="B53" s="69" t="s">
        <v>88</v>
      </c>
      <c r="C53" s="12"/>
      <c r="D53" s="70" t="s">
        <v>160</v>
      </c>
      <c r="E53" s="83" t="s">
        <v>90</v>
      </c>
      <c r="F53" s="70" t="s">
        <v>143</v>
      </c>
      <c r="G53" s="71"/>
      <c r="H53" s="71"/>
      <c r="I53" s="72"/>
      <c r="J53" s="81"/>
      <c r="K53" s="74"/>
      <c r="L53" s="82"/>
      <c r="M53" s="63"/>
      <c r="N53" s="63"/>
      <c r="O53" s="63"/>
      <c r="P53" s="63"/>
      <c r="Q53" s="63"/>
    </row>
    <row r="54">
      <c r="A54" s="18"/>
      <c r="B54" s="74"/>
      <c r="C54" s="20"/>
      <c r="D54" s="75">
        <v>49.99</v>
      </c>
      <c r="E54" s="75">
        <v>52.6</v>
      </c>
      <c r="F54" s="75"/>
      <c r="G54" s="76">
        <f>SUM(D54,E54,F54)</f>
        <v>102.59</v>
      </c>
      <c r="H54" s="77">
        <f>AVERAGE(D54,E54,F54)</f>
        <v>51.295</v>
      </c>
      <c r="I54" s="85"/>
      <c r="J54" s="78">
        <v>0.5</v>
      </c>
      <c r="K54" s="85"/>
      <c r="L54" s="80">
        <f>H54*J54</f>
        <v>25.6475</v>
      </c>
      <c r="M54" s="63"/>
      <c r="N54" s="63"/>
      <c r="O54" s="63"/>
      <c r="P54" s="63"/>
      <c r="Q54" s="63"/>
    </row>
    <row r="55">
      <c r="A55" s="86" t="s">
        <v>106</v>
      </c>
      <c r="B55" s="74"/>
      <c r="C55" s="74"/>
      <c r="D55" s="74"/>
      <c r="E55" s="74"/>
      <c r="F55" s="74"/>
      <c r="G55" s="82"/>
      <c r="H55" s="87">
        <f>SUM(H4:H54)</f>
        <v>382.1783333</v>
      </c>
      <c r="I55" s="85"/>
      <c r="J55" s="88" t="s">
        <v>6</v>
      </c>
      <c r="K55" s="20"/>
      <c r="L55" s="89">
        <f>SUM(L4:L54)</f>
        <v>1028.5375</v>
      </c>
      <c r="M55" s="63"/>
      <c r="N55" s="63"/>
      <c r="O55" s="63"/>
      <c r="P55" s="63"/>
      <c r="Q55" s="63"/>
    </row>
    <row r="56">
      <c r="A56" s="90" t="s">
        <v>144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  <c r="P56" s="63"/>
      <c r="Q56" s="63"/>
    </row>
    <row r="57">
      <c r="A57" s="68">
        <f>A53+1</f>
        <v>27</v>
      </c>
      <c r="B57" s="69" t="s">
        <v>145</v>
      </c>
      <c r="C57" s="12"/>
      <c r="D57" s="70" t="s">
        <v>94</v>
      </c>
      <c r="E57" s="70" t="s">
        <v>95</v>
      </c>
      <c r="F57" s="70" t="s">
        <v>96</v>
      </c>
      <c r="G57" s="71"/>
      <c r="H57" s="71"/>
      <c r="I57" s="72"/>
      <c r="J57" s="81"/>
      <c r="K57" s="74"/>
      <c r="L57" s="82"/>
      <c r="M57" s="63"/>
      <c r="N57" s="63"/>
      <c r="O57" s="63"/>
      <c r="P57" s="63"/>
      <c r="Q57" s="63"/>
    </row>
    <row r="58">
      <c r="A58" s="18"/>
      <c r="B58" s="74"/>
      <c r="C58" s="20"/>
      <c r="D58" s="75">
        <v>10.79</v>
      </c>
      <c r="E58" s="75">
        <v>8.99</v>
      </c>
      <c r="F58" s="75"/>
      <c r="G58" s="76">
        <f>SUM(D58,E58,F58)</f>
        <v>19.78</v>
      </c>
      <c r="H58" s="77">
        <f>AVERAGE(D58,E58,F58)</f>
        <v>9.89</v>
      </c>
      <c r="I58" s="72"/>
      <c r="J58" s="78">
        <v>4.0</v>
      </c>
      <c r="K58" s="79"/>
      <c r="L58" s="80">
        <f>H58*J58</f>
        <v>39.56</v>
      </c>
      <c r="M58" s="63"/>
      <c r="N58" s="63"/>
      <c r="O58" s="63"/>
      <c r="P58" s="63"/>
      <c r="Q58" s="63"/>
    </row>
    <row r="59">
      <c r="A59" s="68">
        <f>A57+1</f>
        <v>28</v>
      </c>
      <c r="B59" s="69" t="s">
        <v>97</v>
      </c>
      <c r="C59" s="12"/>
      <c r="D59" s="70" t="s">
        <v>99</v>
      </c>
      <c r="E59" s="70" t="s">
        <v>104</v>
      </c>
      <c r="F59" s="70" t="s">
        <v>33</v>
      </c>
      <c r="G59" s="71"/>
      <c r="H59" s="71"/>
      <c r="I59" s="72"/>
      <c r="J59" s="81"/>
      <c r="K59" s="74"/>
      <c r="L59" s="82"/>
      <c r="M59" s="63"/>
      <c r="N59" s="63"/>
      <c r="O59" s="63"/>
      <c r="P59" s="63"/>
      <c r="Q59" s="63"/>
    </row>
    <row r="60">
      <c r="A60" s="18"/>
      <c r="B60" s="74"/>
      <c r="C60" s="20"/>
      <c r="D60" s="75">
        <v>2.79</v>
      </c>
      <c r="E60" s="75">
        <v>2.79</v>
      </c>
      <c r="F60" s="84"/>
      <c r="G60" s="76">
        <f>SUM(D60,E60,F60)</f>
        <v>5.58</v>
      </c>
      <c r="H60" s="77">
        <f>AVERAGE(D60,E60,F60)</f>
        <v>2.79</v>
      </c>
      <c r="I60" s="72"/>
      <c r="J60" s="78">
        <v>15.0</v>
      </c>
      <c r="K60" s="79"/>
      <c r="L60" s="80">
        <f>H60*J60</f>
        <v>41.85</v>
      </c>
      <c r="M60" s="63"/>
      <c r="N60" s="63"/>
      <c r="O60" s="63"/>
      <c r="P60" s="63"/>
      <c r="Q60" s="63"/>
    </row>
    <row r="61">
      <c r="A61" s="68">
        <f>A59+1</f>
        <v>29</v>
      </c>
      <c r="B61" s="69" t="s">
        <v>100</v>
      </c>
      <c r="C61" s="12"/>
      <c r="D61" s="70" t="s">
        <v>161</v>
      </c>
      <c r="E61" s="70" t="s">
        <v>147</v>
      </c>
      <c r="F61" s="70" t="s">
        <v>148</v>
      </c>
      <c r="G61" s="71"/>
      <c r="H61" s="71"/>
      <c r="I61" s="72"/>
      <c r="J61" s="81"/>
      <c r="K61" s="74"/>
      <c r="L61" s="82"/>
      <c r="M61" s="63"/>
      <c r="N61" s="63"/>
      <c r="O61" s="63"/>
      <c r="P61" s="63"/>
      <c r="Q61" s="63"/>
    </row>
    <row r="62">
      <c r="A62" s="18"/>
      <c r="B62" s="74"/>
      <c r="C62" s="20"/>
      <c r="D62" s="75">
        <v>3.29</v>
      </c>
      <c r="E62" s="75">
        <v>3.69</v>
      </c>
      <c r="F62" s="75"/>
      <c r="G62" s="76">
        <f>SUM(D62,E62,F62)</f>
        <v>6.98</v>
      </c>
      <c r="H62" s="77">
        <f>AVERAGE(D62,E62,F62)</f>
        <v>3.49</v>
      </c>
      <c r="I62" s="72"/>
      <c r="J62" s="78">
        <v>2.0</v>
      </c>
      <c r="K62" s="79"/>
      <c r="L62" s="80">
        <f>H62*J62</f>
        <v>6.98</v>
      </c>
      <c r="M62" s="63"/>
      <c r="N62" s="63"/>
      <c r="O62" s="63"/>
      <c r="P62" s="63"/>
      <c r="Q62" s="63"/>
    </row>
    <row r="63">
      <c r="A63" s="68">
        <f>A61+1</f>
        <v>30</v>
      </c>
      <c r="B63" s="69" t="s">
        <v>103</v>
      </c>
      <c r="C63" s="12"/>
      <c r="D63" s="70" t="s">
        <v>162</v>
      </c>
      <c r="E63" s="83" t="s">
        <v>104</v>
      </c>
      <c r="F63" s="70" t="s">
        <v>105</v>
      </c>
      <c r="G63" s="71"/>
      <c r="H63" s="71"/>
      <c r="I63" s="72"/>
      <c r="J63" s="81"/>
      <c r="K63" s="74"/>
      <c r="L63" s="82"/>
      <c r="M63" s="63"/>
      <c r="N63" s="63"/>
      <c r="O63" s="63"/>
      <c r="P63" s="63"/>
      <c r="Q63" s="63"/>
    </row>
    <row r="64">
      <c r="A64" s="18"/>
      <c r="B64" s="74"/>
      <c r="C64" s="20"/>
      <c r="D64" s="75">
        <v>2.49</v>
      </c>
      <c r="E64" s="75">
        <v>2.49</v>
      </c>
      <c r="F64" s="75"/>
      <c r="G64" s="76">
        <f>SUM(D64,E64,F64)</f>
        <v>4.98</v>
      </c>
      <c r="H64" s="77">
        <f>AVERAGE(D64,E64,F64)</f>
        <v>2.49</v>
      </c>
      <c r="I64" s="85"/>
      <c r="J64" s="78">
        <v>2.0</v>
      </c>
      <c r="K64" s="79"/>
      <c r="L64" s="80">
        <f>H64*J64</f>
        <v>4.98</v>
      </c>
      <c r="M64" s="63"/>
      <c r="N64" s="63"/>
      <c r="O64" s="63"/>
      <c r="P64" s="63"/>
      <c r="Q64" s="63"/>
    </row>
    <row r="65">
      <c r="A65" s="105" t="s">
        <v>106</v>
      </c>
      <c r="B65" s="74"/>
      <c r="C65" s="74"/>
      <c r="D65" s="74"/>
      <c r="E65" s="74"/>
      <c r="F65" s="74"/>
      <c r="G65" s="82"/>
      <c r="H65" s="87">
        <f>SUM(H57:H64)</f>
        <v>18.66</v>
      </c>
      <c r="I65" s="85"/>
      <c r="J65" s="88" t="s">
        <v>6</v>
      </c>
      <c r="K65" s="20"/>
      <c r="L65" s="89">
        <f>SUM(L57:L64)</f>
        <v>93.37</v>
      </c>
      <c r="M65" s="63"/>
      <c r="N65" s="63"/>
      <c r="O65" s="63"/>
      <c r="P65" s="63"/>
      <c r="Q65" s="63"/>
    </row>
    <row r="66">
      <c r="A66" s="90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  <c r="P66" s="63"/>
      <c r="Q66" s="63"/>
    </row>
    <row r="67">
      <c r="A67" s="68">
        <f>A63+1</f>
        <v>31</v>
      </c>
      <c r="B67" s="69" t="s">
        <v>108</v>
      </c>
      <c r="C67" s="12"/>
      <c r="D67" s="70" t="s">
        <v>109</v>
      </c>
      <c r="E67" s="70" t="s">
        <v>149</v>
      </c>
      <c r="F67" s="70" t="s">
        <v>150</v>
      </c>
      <c r="G67" s="71"/>
      <c r="H67" s="71"/>
      <c r="I67" s="72"/>
      <c r="J67" s="81"/>
      <c r="K67" s="74"/>
      <c r="L67" s="82"/>
      <c r="M67" s="63"/>
      <c r="N67" s="63"/>
      <c r="O67" s="63"/>
      <c r="P67" s="63"/>
      <c r="Q67" s="63"/>
    </row>
    <row r="68">
      <c r="A68" s="18"/>
      <c r="B68" s="74"/>
      <c r="C68" s="20"/>
      <c r="D68" s="75">
        <v>6.99</v>
      </c>
      <c r="E68" s="75"/>
      <c r="F68" s="75"/>
      <c r="G68" s="76">
        <f>SUM(D68,E68,F68)</f>
        <v>6.99</v>
      </c>
      <c r="H68" s="77">
        <f>AVERAGE(D68,E68,F68)</f>
        <v>6.99</v>
      </c>
      <c r="I68" s="72"/>
      <c r="J68" s="78">
        <v>3.0</v>
      </c>
      <c r="K68" s="79"/>
      <c r="L68" s="80">
        <f>H68*J68</f>
        <v>20.97</v>
      </c>
      <c r="M68" s="63"/>
      <c r="N68" s="63"/>
      <c r="O68" s="63"/>
      <c r="P68" s="63"/>
      <c r="Q68" s="63"/>
    </row>
    <row r="69">
      <c r="A69" s="68">
        <f>A67+1</f>
        <v>32</v>
      </c>
      <c r="B69" s="69" t="s">
        <v>112</v>
      </c>
      <c r="C69" s="12"/>
      <c r="D69" s="70" t="s">
        <v>113</v>
      </c>
      <c r="E69" s="70" t="s">
        <v>114</v>
      </c>
      <c r="F69" s="70" t="s">
        <v>33</v>
      </c>
      <c r="G69" s="71"/>
      <c r="H69" s="71"/>
      <c r="I69" s="72"/>
      <c r="J69" s="81"/>
      <c r="K69" s="74"/>
      <c r="L69" s="82"/>
      <c r="M69" s="63"/>
      <c r="N69" s="63"/>
      <c r="O69" s="63"/>
      <c r="P69" s="63"/>
      <c r="Q69" s="63"/>
    </row>
    <row r="70">
      <c r="A70" s="18"/>
      <c r="B70" s="74"/>
      <c r="C70" s="20"/>
      <c r="D70" s="75">
        <v>4.89</v>
      </c>
      <c r="E70" s="75">
        <v>3.89</v>
      </c>
      <c r="F70" s="84"/>
      <c r="G70" s="76">
        <f>SUM(D70,E70,F70)</f>
        <v>8.78</v>
      </c>
      <c r="H70" s="77">
        <f>AVERAGE(D70,E70,F70)</f>
        <v>4.39</v>
      </c>
      <c r="I70" s="72"/>
      <c r="J70" s="78">
        <v>2.0</v>
      </c>
      <c r="K70" s="79"/>
      <c r="L70" s="80">
        <f>H70*J70</f>
        <v>8.78</v>
      </c>
      <c r="M70" s="63"/>
      <c r="N70" s="63"/>
      <c r="O70" s="63"/>
      <c r="P70" s="63"/>
      <c r="Q70" s="63"/>
    </row>
    <row r="71">
      <c r="A71" s="68">
        <f>A69+1</f>
        <v>33</v>
      </c>
      <c r="B71" s="69" t="s">
        <v>115</v>
      </c>
      <c r="C71" s="12"/>
      <c r="D71" s="70" t="s">
        <v>116</v>
      </c>
      <c r="E71" s="70" t="s">
        <v>117</v>
      </c>
      <c r="F71" s="70" t="s">
        <v>33</v>
      </c>
      <c r="G71" s="71"/>
      <c r="H71" s="71"/>
      <c r="I71" s="72"/>
      <c r="J71" s="81"/>
      <c r="K71" s="74"/>
      <c r="L71" s="82"/>
      <c r="M71" s="63"/>
      <c r="N71" s="63"/>
      <c r="O71" s="63"/>
      <c r="P71" s="63"/>
      <c r="Q71" s="63"/>
    </row>
    <row r="72">
      <c r="A72" s="18"/>
      <c r="B72" s="74"/>
      <c r="C72" s="20"/>
      <c r="D72" s="75">
        <v>2.49</v>
      </c>
      <c r="E72" s="75"/>
      <c r="F72" s="84"/>
      <c r="G72" s="76">
        <f>SUM(D72,E72,F72)</f>
        <v>2.49</v>
      </c>
      <c r="H72" s="77">
        <f>AVERAGE(D72,E72,F72)</f>
        <v>2.49</v>
      </c>
      <c r="I72" s="72"/>
      <c r="J72" s="78">
        <v>10.0</v>
      </c>
      <c r="K72" s="79"/>
      <c r="L72" s="80">
        <f>H72*J72</f>
        <v>24.9</v>
      </c>
      <c r="M72" s="63"/>
      <c r="N72" s="63"/>
      <c r="O72" s="63"/>
      <c r="P72" s="63"/>
      <c r="Q72" s="63"/>
    </row>
    <row r="73">
      <c r="A73" s="68">
        <f>A71+1</f>
        <v>34</v>
      </c>
      <c r="B73" s="69" t="s">
        <v>119</v>
      </c>
      <c r="C73" s="12"/>
      <c r="D73" s="83" t="s">
        <v>151</v>
      </c>
      <c r="E73" s="83" t="s">
        <v>152</v>
      </c>
      <c r="F73" s="70" t="s">
        <v>33</v>
      </c>
      <c r="G73" s="71"/>
      <c r="H73" s="71"/>
      <c r="I73" s="72"/>
      <c r="J73" s="81"/>
      <c r="K73" s="74"/>
      <c r="L73" s="82"/>
      <c r="M73" s="63"/>
      <c r="N73" s="63"/>
      <c r="O73" s="63"/>
      <c r="P73" s="63"/>
      <c r="Q73" s="63"/>
    </row>
    <row r="74">
      <c r="A74" s="18"/>
      <c r="B74" s="74"/>
      <c r="C74" s="20"/>
      <c r="D74" s="75">
        <v>17.0</v>
      </c>
      <c r="E74" s="75">
        <v>13.59</v>
      </c>
      <c r="F74" s="84"/>
      <c r="G74" s="76">
        <f>SUM(D74,E74,F74)</f>
        <v>30.59</v>
      </c>
      <c r="H74" s="77">
        <f>AVERAGE(D74,E74,F74)</f>
        <v>15.295</v>
      </c>
      <c r="I74" s="72"/>
      <c r="J74" s="78">
        <v>2.0</v>
      </c>
      <c r="K74" s="79"/>
      <c r="L74" s="80">
        <f>H74*J74</f>
        <v>30.59</v>
      </c>
      <c r="M74" s="63"/>
      <c r="N74" s="63"/>
      <c r="O74" s="63"/>
      <c r="P74" s="63"/>
      <c r="Q74" s="63"/>
    </row>
    <row r="75">
      <c r="A75" s="68">
        <f>A73+1</f>
        <v>35</v>
      </c>
      <c r="B75" s="69" t="s">
        <v>122</v>
      </c>
      <c r="C75" s="12"/>
      <c r="D75" s="70" t="s">
        <v>123</v>
      </c>
      <c r="E75" s="70" t="s">
        <v>124</v>
      </c>
      <c r="F75" s="70" t="s">
        <v>33</v>
      </c>
      <c r="G75" s="71"/>
      <c r="H75" s="71"/>
      <c r="I75" s="72"/>
      <c r="J75" s="81"/>
      <c r="K75" s="74"/>
      <c r="L75" s="82"/>
      <c r="M75" s="63"/>
      <c r="N75" s="63"/>
      <c r="O75" s="63"/>
      <c r="P75" s="63"/>
      <c r="Q75" s="63"/>
    </row>
    <row r="76">
      <c r="A76" s="18"/>
      <c r="B76" s="74"/>
      <c r="C76" s="20"/>
      <c r="D76" s="75">
        <v>5.69</v>
      </c>
      <c r="E76" s="75">
        <v>5.9</v>
      </c>
      <c r="F76" s="84"/>
      <c r="G76" s="76">
        <f>SUM(D76,E76,F76)</f>
        <v>11.59</v>
      </c>
      <c r="H76" s="77">
        <f>AVERAGE(D76,E76,F76)</f>
        <v>5.795</v>
      </c>
      <c r="I76" s="85"/>
      <c r="J76" s="78">
        <v>1.0</v>
      </c>
      <c r="K76" s="79"/>
      <c r="L76" s="80">
        <f>H76*J76</f>
        <v>5.795</v>
      </c>
      <c r="M76" s="63"/>
      <c r="N76" s="63"/>
      <c r="O76" s="63"/>
      <c r="P76" s="63"/>
      <c r="Q76" s="63"/>
    </row>
    <row r="77">
      <c r="A77" s="86" t="s">
        <v>106</v>
      </c>
      <c r="B77" s="74"/>
      <c r="C77" s="74"/>
      <c r="D77" s="74"/>
      <c r="E77" s="74"/>
      <c r="F77" s="74"/>
      <c r="G77" s="82"/>
      <c r="H77" s="87">
        <f>SUM(H68:H76)</f>
        <v>34.96</v>
      </c>
      <c r="I77" s="85"/>
      <c r="J77" s="88" t="s">
        <v>6</v>
      </c>
      <c r="K77" s="20"/>
      <c r="L77" s="89">
        <f>SUM(L68:L76)</f>
        <v>91.035</v>
      </c>
      <c r="M77" s="63"/>
      <c r="N77" s="63"/>
      <c r="O77" s="63"/>
      <c r="P77" s="63"/>
      <c r="Q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  <c r="P78" s="63"/>
      <c r="Q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  <c r="P79" s="63"/>
      <c r="Q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435.7983333</v>
      </c>
      <c r="I80" s="63"/>
      <c r="J80" s="72"/>
      <c r="K80" s="97" t="s">
        <v>6</v>
      </c>
      <c r="L80" s="89">
        <f>L55+L65+L77</f>
        <v>1212.9425</v>
      </c>
      <c r="M80" s="63"/>
      <c r="N80" s="63"/>
      <c r="O80" s="63"/>
      <c r="P80" s="63"/>
      <c r="Q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  <c r="P81" s="63"/>
      <c r="Q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  <c r="O82" s="63"/>
      <c r="P82" s="63"/>
      <c r="Q82" s="63"/>
    </row>
    <row r="83">
      <c r="A83" s="63"/>
      <c r="B83" s="63"/>
      <c r="C83" s="63"/>
      <c r="D83" s="63"/>
      <c r="E83" s="63"/>
      <c r="F83" s="63"/>
      <c r="G83" s="63"/>
      <c r="H83" s="92"/>
      <c r="I83" s="63"/>
      <c r="J83" s="63"/>
      <c r="K83" s="63"/>
      <c r="L83" s="92"/>
      <c r="M83" s="63"/>
      <c r="N83" s="63"/>
      <c r="O83" s="63"/>
      <c r="P83" s="63"/>
      <c r="Q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</row>
    <row r="2">
      <c r="A2" s="102" t="s">
        <v>163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</row>
    <row r="3">
      <c r="A3" s="68">
        <v>1.0</v>
      </c>
      <c r="B3" s="69" t="s">
        <v>2</v>
      </c>
      <c r="C3" s="12"/>
      <c r="D3" s="70" t="s">
        <v>164</v>
      </c>
      <c r="E3" s="70" t="s">
        <v>4</v>
      </c>
      <c r="F3" s="70" t="s">
        <v>126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</row>
    <row r="4">
      <c r="A4" s="18"/>
      <c r="B4" s="74"/>
      <c r="C4" s="20"/>
      <c r="D4" s="75">
        <v>25.9</v>
      </c>
      <c r="E4" s="75">
        <v>32.16</v>
      </c>
      <c r="F4" s="75">
        <v>31.0</v>
      </c>
      <c r="G4" s="76">
        <f>SUM(D4,E4,F4)</f>
        <v>89.06</v>
      </c>
      <c r="H4" s="77">
        <f>AVERAGE(D4,E4,F4)</f>
        <v>29.68666667</v>
      </c>
      <c r="I4" s="72"/>
      <c r="J4" s="78">
        <v>3.0</v>
      </c>
      <c r="K4" s="79" t="s">
        <v>11</v>
      </c>
      <c r="L4" s="80">
        <f>H4*J4</f>
        <v>89.06</v>
      </c>
      <c r="M4" s="63"/>
      <c r="N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127</v>
      </c>
      <c r="G5" s="71"/>
      <c r="H5" s="71"/>
      <c r="I5" s="72"/>
      <c r="J5" s="81"/>
      <c r="K5" s="74"/>
      <c r="L5" s="82"/>
      <c r="M5" s="63"/>
      <c r="N5" s="63"/>
    </row>
    <row r="6">
      <c r="A6" s="18"/>
      <c r="B6" s="74"/>
      <c r="C6" s="20"/>
      <c r="D6" s="75">
        <v>7.39</v>
      </c>
      <c r="E6" s="75">
        <v>7.0</v>
      </c>
      <c r="F6" s="75"/>
      <c r="G6" s="76">
        <f>SUM(D6,E6,F6)</f>
        <v>14.39</v>
      </c>
      <c r="H6" s="77">
        <f>AVERAGE(D6,E6,F6)</f>
        <v>7.195</v>
      </c>
      <c r="I6" s="72"/>
      <c r="J6" s="78">
        <v>4.0</v>
      </c>
      <c r="K6" s="79"/>
      <c r="L6" s="80">
        <f>H6*J6</f>
        <v>28.78</v>
      </c>
      <c r="M6" s="63"/>
      <c r="N6" s="63"/>
    </row>
    <row r="7">
      <c r="A7" s="68">
        <f>A5+1</f>
        <v>3</v>
      </c>
      <c r="B7" s="69" t="s">
        <v>15</v>
      </c>
      <c r="C7" s="12"/>
      <c r="D7" s="70" t="s">
        <v>16</v>
      </c>
      <c r="E7" s="70" t="s">
        <v>129</v>
      </c>
      <c r="F7" s="70" t="s">
        <v>18</v>
      </c>
      <c r="G7" s="71"/>
      <c r="H7" s="71"/>
      <c r="I7" s="72"/>
      <c r="J7" s="81"/>
      <c r="K7" s="74"/>
      <c r="L7" s="82"/>
      <c r="M7" s="63"/>
      <c r="N7" s="63"/>
    </row>
    <row r="8">
      <c r="A8" s="18"/>
      <c r="B8" s="74"/>
      <c r="C8" s="20"/>
      <c r="D8" s="75">
        <v>21.0</v>
      </c>
      <c r="E8" s="75">
        <v>19.99</v>
      </c>
      <c r="F8" s="75"/>
      <c r="G8" s="76">
        <f>SUM(D8,E8,F8)</f>
        <v>40.99</v>
      </c>
      <c r="H8" s="77">
        <f>AVERAGE(D8,E8,F8)</f>
        <v>20.495</v>
      </c>
      <c r="I8" s="72"/>
      <c r="J8" s="78">
        <v>2.0</v>
      </c>
      <c r="K8" s="79"/>
      <c r="L8" s="80">
        <f>H8*J8</f>
        <v>40.99</v>
      </c>
      <c r="M8" s="63"/>
      <c r="N8" s="63"/>
    </row>
    <row r="9">
      <c r="A9" s="68">
        <f>A7+1</f>
        <v>4</v>
      </c>
      <c r="B9" s="69" t="s">
        <v>19</v>
      </c>
      <c r="C9" s="12"/>
      <c r="D9" s="83" t="s">
        <v>20</v>
      </c>
      <c r="E9" s="70" t="s">
        <v>21</v>
      </c>
      <c r="F9" s="83" t="s">
        <v>165</v>
      </c>
      <c r="G9" s="71"/>
      <c r="H9" s="71"/>
      <c r="I9" s="72"/>
      <c r="J9" s="81"/>
      <c r="K9" s="74"/>
      <c r="L9" s="82"/>
      <c r="M9" s="63"/>
      <c r="N9" s="63"/>
    </row>
    <row r="10">
      <c r="A10" s="18"/>
      <c r="B10" s="74"/>
      <c r="C10" s="20"/>
      <c r="D10" s="75">
        <v>24.0</v>
      </c>
      <c r="E10" s="75">
        <v>21.98</v>
      </c>
      <c r="F10" s="75"/>
      <c r="G10" s="76">
        <f>SUM(D10,E10,F10)</f>
        <v>45.98</v>
      </c>
      <c r="H10" s="77">
        <f>AVERAGE(D10,E10,F10)</f>
        <v>22.99</v>
      </c>
      <c r="I10" s="72"/>
      <c r="J10" s="78">
        <v>3.0</v>
      </c>
      <c r="K10" s="79"/>
      <c r="L10" s="80">
        <f>H10*J10</f>
        <v>68.97</v>
      </c>
      <c r="M10" s="63"/>
      <c r="N10" s="63"/>
    </row>
    <row r="11">
      <c r="A11" s="68">
        <f>A9+1</f>
        <v>5</v>
      </c>
      <c r="B11" s="69" t="s">
        <v>23</v>
      </c>
      <c r="C11" s="12"/>
      <c r="D11" s="70" t="s">
        <v>24</v>
      </c>
      <c r="E11" s="70" t="s">
        <v>25</v>
      </c>
      <c r="F11" s="70" t="s">
        <v>26</v>
      </c>
      <c r="G11" s="71"/>
      <c r="H11" s="71"/>
      <c r="I11" s="72"/>
      <c r="J11" s="81"/>
      <c r="K11" s="74"/>
      <c r="L11" s="82"/>
      <c r="M11" s="63"/>
      <c r="N11" s="63"/>
    </row>
    <row r="12">
      <c r="A12" s="18"/>
      <c r="B12" s="74"/>
      <c r="C12" s="20"/>
      <c r="D12" s="75">
        <v>4.99</v>
      </c>
      <c r="E12" s="75">
        <v>5.1</v>
      </c>
      <c r="F12" s="103"/>
      <c r="G12" s="76">
        <f>SUM(D12,E12,F12)</f>
        <v>10.09</v>
      </c>
      <c r="H12" s="77">
        <f>AVERAGE(D12,E12,F12)</f>
        <v>5.045</v>
      </c>
      <c r="I12" s="72"/>
      <c r="J12" s="78">
        <v>3.0</v>
      </c>
      <c r="K12" s="79"/>
      <c r="L12" s="80">
        <f>H12*J12</f>
        <v>15.135</v>
      </c>
      <c r="M12" s="63"/>
      <c r="N12" s="63"/>
    </row>
    <row r="13">
      <c r="A13" s="68">
        <f>A11+1</f>
        <v>6</v>
      </c>
      <c r="B13" s="69" t="s">
        <v>27</v>
      </c>
      <c r="C13" s="12"/>
      <c r="D13" s="70" t="s">
        <v>28</v>
      </c>
      <c r="E13" s="70" t="s">
        <v>133</v>
      </c>
      <c r="F13" s="70" t="s">
        <v>30</v>
      </c>
      <c r="G13" s="71"/>
      <c r="H13" s="71"/>
      <c r="I13" s="72"/>
      <c r="J13" s="81"/>
      <c r="K13" s="74"/>
      <c r="L13" s="82"/>
      <c r="M13" s="63"/>
      <c r="N13" s="63"/>
    </row>
    <row r="14">
      <c r="A14" s="18"/>
      <c r="B14" s="74"/>
      <c r="C14" s="20"/>
      <c r="D14" s="75">
        <v>13.33</v>
      </c>
      <c r="E14" s="75"/>
      <c r="F14" s="75">
        <v>10.9</v>
      </c>
      <c r="G14" s="76">
        <f>SUM(D14,E14,F14)</f>
        <v>24.23</v>
      </c>
      <c r="H14" s="77">
        <f>AVERAGE(D14,E14,F14)</f>
        <v>12.115</v>
      </c>
      <c r="I14" s="72"/>
      <c r="J14" s="78">
        <v>1.0</v>
      </c>
      <c r="K14" s="79"/>
      <c r="L14" s="80">
        <f>H14*J14</f>
        <v>12.115</v>
      </c>
      <c r="M14" s="63"/>
      <c r="N14" s="63"/>
    </row>
    <row r="15">
      <c r="A15" s="68">
        <f>A13+1</f>
        <v>7</v>
      </c>
      <c r="B15" s="69" t="s">
        <v>31</v>
      </c>
      <c r="C15" s="12"/>
      <c r="D15" s="70" t="s">
        <v>32</v>
      </c>
      <c r="E15" s="83" t="s">
        <v>33</v>
      </c>
      <c r="F15" s="70" t="s">
        <v>33</v>
      </c>
      <c r="G15" s="71"/>
      <c r="H15" s="71"/>
      <c r="I15" s="72"/>
      <c r="J15" s="81"/>
      <c r="K15" s="74"/>
      <c r="L15" s="82"/>
      <c r="M15" s="63"/>
      <c r="N15" s="63"/>
    </row>
    <row r="16">
      <c r="A16" s="18"/>
      <c r="B16" s="74"/>
      <c r="C16" s="20"/>
      <c r="D16" s="75">
        <v>5.9</v>
      </c>
      <c r="E16" s="84"/>
      <c r="F16" s="84"/>
      <c r="G16" s="76">
        <f>SUM(D16,E16,F16)</f>
        <v>5.9</v>
      </c>
      <c r="H16" s="77">
        <f>AVERAGE(D16,E16,F16)</f>
        <v>5.9</v>
      </c>
      <c r="I16" s="72"/>
      <c r="J16" s="78">
        <v>4.0</v>
      </c>
      <c r="K16" s="79"/>
      <c r="L16" s="80">
        <f>H16*J16</f>
        <v>23.6</v>
      </c>
      <c r="M16" s="63"/>
      <c r="N16" s="63"/>
    </row>
    <row r="17">
      <c r="A17" s="68">
        <f>A15+1</f>
        <v>8</v>
      </c>
      <c r="B17" s="69" t="s">
        <v>34</v>
      </c>
      <c r="C17" s="12"/>
      <c r="D17" s="70" t="s">
        <v>35</v>
      </c>
      <c r="E17" s="70" t="s">
        <v>33</v>
      </c>
      <c r="F17" s="70" t="s">
        <v>33</v>
      </c>
      <c r="G17" s="71"/>
      <c r="H17" s="71"/>
      <c r="I17" s="72"/>
      <c r="J17" s="81"/>
      <c r="K17" s="74"/>
      <c r="L17" s="82"/>
      <c r="M17" s="63"/>
      <c r="N17" s="63"/>
    </row>
    <row r="18">
      <c r="A18" s="18"/>
      <c r="B18" s="74"/>
      <c r="C18" s="20"/>
      <c r="D18" s="75">
        <v>5.9</v>
      </c>
      <c r="E18" s="84"/>
      <c r="F18" s="84"/>
      <c r="G18" s="76">
        <f>SUM(D18,E18,F18)</f>
        <v>5.9</v>
      </c>
      <c r="H18" s="77">
        <f>AVERAGE(D18,E18,F18)</f>
        <v>5.9</v>
      </c>
      <c r="I18" s="72"/>
      <c r="J18" s="78">
        <v>1.0</v>
      </c>
      <c r="K18" s="79"/>
      <c r="L18" s="80">
        <f>H18*J18</f>
        <v>5.9</v>
      </c>
      <c r="M18" s="63"/>
      <c r="N18" s="63"/>
    </row>
    <row r="19">
      <c r="A19" s="68">
        <f>A17+1</f>
        <v>9</v>
      </c>
      <c r="B19" s="69" t="s">
        <v>36</v>
      </c>
      <c r="C19" s="12"/>
      <c r="D19" s="70" t="s">
        <v>37</v>
      </c>
      <c r="E19" s="70" t="s">
        <v>33</v>
      </c>
      <c r="F19" s="70" t="s">
        <v>33</v>
      </c>
      <c r="G19" s="71"/>
      <c r="H19" s="71"/>
      <c r="I19" s="72"/>
      <c r="J19" s="81"/>
      <c r="K19" s="74"/>
      <c r="L19" s="82"/>
      <c r="M19" s="63"/>
      <c r="N19" s="63"/>
    </row>
    <row r="20">
      <c r="A20" s="18"/>
      <c r="B20" s="74"/>
      <c r="C20" s="20"/>
      <c r="D20" s="75">
        <v>11.99</v>
      </c>
      <c r="E20" s="84"/>
      <c r="F20" s="84"/>
      <c r="G20" s="76">
        <f>SUM(D20,E20,F20)</f>
        <v>11.99</v>
      </c>
      <c r="H20" s="77">
        <f>AVERAGE(D20,E20,F20)</f>
        <v>11.99</v>
      </c>
      <c r="I20" s="72"/>
      <c r="J20" s="78">
        <v>9.0</v>
      </c>
      <c r="K20" s="79"/>
      <c r="L20" s="80">
        <f>H20*J20</f>
        <v>107.91</v>
      </c>
      <c r="M20" s="63"/>
      <c r="N20" s="63"/>
    </row>
    <row r="21">
      <c r="A21" s="68">
        <f>A19+1</f>
        <v>10</v>
      </c>
      <c r="B21" s="69" t="s">
        <v>38</v>
      </c>
      <c r="C21" s="12"/>
      <c r="D21" s="70" t="s">
        <v>39</v>
      </c>
      <c r="E21" s="70" t="s">
        <v>33</v>
      </c>
      <c r="F21" s="70" t="s">
        <v>33</v>
      </c>
      <c r="G21" s="71"/>
      <c r="H21" s="71"/>
      <c r="I21" s="72"/>
      <c r="J21" s="81"/>
      <c r="K21" s="74"/>
      <c r="L21" s="82"/>
      <c r="M21" s="63"/>
      <c r="N21" s="63"/>
    </row>
    <row r="22">
      <c r="A22" s="18"/>
      <c r="B22" s="74"/>
      <c r="C22" s="20"/>
      <c r="D22" s="75">
        <v>36.69</v>
      </c>
      <c r="E22" s="84"/>
      <c r="F22" s="84"/>
      <c r="G22" s="76">
        <f>SUM(D22,E22,F22)</f>
        <v>36.69</v>
      </c>
      <c r="H22" s="77">
        <f>AVERAGE(D22,E22,F22)</f>
        <v>36.69</v>
      </c>
      <c r="I22" s="72"/>
      <c r="J22" s="78">
        <v>0.2</v>
      </c>
      <c r="K22" s="79"/>
      <c r="L22" s="80">
        <f>H22*J22</f>
        <v>7.338</v>
      </c>
      <c r="M22" s="63"/>
      <c r="N22" s="63"/>
    </row>
    <row r="23">
      <c r="A23" s="68">
        <f>A21+1</f>
        <v>11</v>
      </c>
      <c r="B23" s="69" t="s">
        <v>40</v>
      </c>
      <c r="C23" s="12"/>
      <c r="D23" s="70" t="s">
        <v>41</v>
      </c>
      <c r="E23" s="70" t="s">
        <v>42</v>
      </c>
      <c r="F23" s="70" t="s">
        <v>33</v>
      </c>
      <c r="G23" s="71"/>
      <c r="H23" s="71"/>
      <c r="I23" s="72"/>
      <c r="J23" s="81"/>
      <c r="K23" s="74"/>
      <c r="L23" s="82"/>
      <c r="M23" s="63"/>
      <c r="N23" s="63"/>
    </row>
    <row r="24">
      <c r="A24" s="18"/>
      <c r="B24" s="74"/>
      <c r="C24" s="20"/>
      <c r="D24" s="75">
        <v>10.99</v>
      </c>
      <c r="E24" s="75"/>
      <c r="F24" s="84"/>
      <c r="G24" s="76">
        <f>SUM(D24,E24,F24)</f>
        <v>10.99</v>
      </c>
      <c r="H24" s="77">
        <f>AVERAGE(D24,E24,F24)</f>
        <v>10.99</v>
      </c>
      <c r="I24" s="72"/>
      <c r="J24" s="78">
        <v>3.0</v>
      </c>
      <c r="K24" s="79"/>
      <c r="L24" s="80">
        <f>H24*J24</f>
        <v>32.97</v>
      </c>
      <c r="M24" s="63"/>
      <c r="N24" s="63"/>
    </row>
    <row r="25">
      <c r="A25" s="68">
        <f>A23+1</f>
        <v>12</v>
      </c>
      <c r="B25" s="69" t="s">
        <v>43</v>
      </c>
      <c r="C25" s="12"/>
      <c r="D25" s="70" t="s">
        <v>44</v>
      </c>
      <c r="E25" s="70" t="s">
        <v>45</v>
      </c>
      <c r="F25" s="70" t="s">
        <v>46</v>
      </c>
      <c r="G25" s="71"/>
      <c r="H25" s="71"/>
      <c r="I25" s="72"/>
      <c r="J25" s="81"/>
      <c r="K25" s="74"/>
      <c r="L25" s="82"/>
      <c r="M25" s="63"/>
      <c r="N25" s="63"/>
    </row>
    <row r="26">
      <c r="A26" s="18"/>
      <c r="B26" s="74"/>
      <c r="C26" s="20"/>
      <c r="D26" s="75">
        <v>5.49</v>
      </c>
      <c r="E26" s="75"/>
      <c r="F26" s="75"/>
      <c r="G26" s="76">
        <f>SUM(D26,E26,F26)</f>
        <v>5.49</v>
      </c>
      <c r="H26" s="77">
        <f>AVERAGE(D26,E26,F26)</f>
        <v>5.49</v>
      </c>
      <c r="I26" s="72"/>
      <c r="J26" s="78">
        <v>4.0</v>
      </c>
      <c r="K26" s="79"/>
      <c r="L26" s="80">
        <f>H26*J26</f>
        <v>21.96</v>
      </c>
      <c r="M26" s="63"/>
      <c r="N26" s="63"/>
    </row>
    <row r="27">
      <c r="A27" s="68">
        <f>A25+1</f>
        <v>13</v>
      </c>
      <c r="B27" s="69" t="s">
        <v>47</v>
      </c>
      <c r="C27" s="12"/>
      <c r="D27" s="83" t="s">
        <v>48</v>
      </c>
      <c r="E27" s="70" t="s">
        <v>90</v>
      </c>
      <c r="F27" s="83" t="s">
        <v>50</v>
      </c>
      <c r="G27" s="71"/>
      <c r="H27" s="71"/>
      <c r="I27" s="72"/>
      <c r="J27" s="81"/>
      <c r="K27" s="74"/>
      <c r="L27" s="82"/>
      <c r="M27" s="63"/>
      <c r="N27" s="63"/>
    </row>
    <row r="28">
      <c r="A28" s="18"/>
      <c r="B28" s="74"/>
      <c r="C28" s="20"/>
      <c r="D28" s="75">
        <v>2.49</v>
      </c>
      <c r="E28" s="75">
        <v>1.99</v>
      </c>
      <c r="F28" s="84"/>
      <c r="G28" s="76">
        <f>SUM(D28,E28,F28)</f>
        <v>4.48</v>
      </c>
      <c r="H28" s="77">
        <f>AVERAGE(D28,E28,F28)</f>
        <v>2.24</v>
      </c>
      <c r="I28" s="72"/>
      <c r="J28" s="78">
        <v>2.0</v>
      </c>
      <c r="K28" s="79"/>
      <c r="L28" s="80">
        <f>H28*J28</f>
        <v>4.48</v>
      </c>
      <c r="M28" s="63"/>
      <c r="N28" s="63"/>
    </row>
    <row r="29">
      <c r="A29" s="68">
        <f>A27+1</f>
        <v>14</v>
      </c>
      <c r="B29" s="69" t="s">
        <v>51</v>
      </c>
      <c r="C29" s="12"/>
      <c r="D29" s="70" t="s">
        <v>52</v>
      </c>
      <c r="E29" s="70" t="s">
        <v>33</v>
      </c>
      <c r="F29" s="70" t="s">
        <v>33</v>
      </c>
      <c r="G29" s="71"/>
      <c r="H29" s="71"/>
      <c r="I29" s="72"/>
      <c r="J29" s="81"/>
      <c r="K29" s="74"/>
      <c r="L29" s="82"/>
      <c r="M29" s="63"/>
      <c r="N29" s="63"/>
    </row>
    <row r="30">
      <c r="A30" s="18"/>
      <c r="B30" s="74"/>
      <c r="C30" s="20"/>
      <c r="D30" s="75">
        <v>14.15</v>
      </c>
      <c r="E30" s="84"/>
      <c r="F30" s="84"/>
      <c r="G30" s="76">
        <f>SUM(D30,E30,F30)</f>
        <v>14.15</v>
      </c>
      <c r="H30" s="77">
        <f>AVERAGE(D30,E30,F30)</f>
        <v>14.15</v>
      </c>
      <c r="I30" s="72"/>
      <c r="J30" s="78">
        <v>6.0</v>
      </c>
      <c r="K30" s="79"/>
      <c r="L30" s="80">
        <f>H30*J30</f>
        <v>84.9</v>
      </c>
      <c r="M30" s="63"/>
      <c r="N30" s="63"/>
    </row>
    <row r="31">
      <c r="A31" s="68">
        <f>A29+1</f>
        <v>15</v>
      </c>
      <c r="B31" s="69" t="s">
        <v>53</v>
      </c>
      <c r="C31" s="12"/>
      <c r="D31" s="70" t="s">
        <v>54</v>
      </c>
      <c r="E31" s="70" t="s">
        <v>55</v>
      </c>
      <c r="F31" s="70" t="s">
        <v>33</v>
      </c>
      <c r="G31" s="71"/>
      <c r="H31" s="71"/>
      <c r="I31" s="72"/>
      <c r="J31" s="81"/>
      <c r="K31" s="74"/>
      <c r="L31" s="82"/>
      <c r="M31" s="63"/>
      <c r="N31" s="63"/>
    </row>
    <row r="32">
      <c r="A32" s="18"/>
      <c r="B32" s="74"/>
      <c r="C32" s="20"/>
      <c r="D32" s="75">
        <v>6.99</v>
      </c>
      <c r="E32" s="75"/>
      <c r="F32" s="84"/>
      <c r="G32" s="76">
        <f>SUM(D32,E32,F32)</f>
        <v>6.99</v>
      </c>
      <c r="H32" s="77">
        <f>AVERAGE(D32,E32,F32)</f>
        <v>6.99</v>
      </c>
      <c r="I32" s="72"/>
      <c r="J32" s="78">
        <v>7.5</v>
      </c>
      <c r="K32" s="79"/>
      <c r="L32" s="80">
        <f>H32*J32</f>
        <v>52.425</v>
      </c>
      <c r="M32" s="63"/>
      <c r="N32" s="63"/>
    </row>
    <row r="33">
      <c r="A33" s="68">
        <f>A31+1</f>
        <v>16</v>
      </c>
      <c r="B33" s="69" t="s">
        <v>56</v>
      </c>
      <c r="C33" s="12"/>
      <c r="D33" s="70" t="s">
        <v>57</v>
      </c>
      <c r="E33" s="70" t="s">
        <v>134</v>
      </c>
      <c r="F33" s="70" t="s">
        <v>59</v>
      </c>
      <c r="G33" s="71"/>
      <c r="H33" s="71"/>
      <c r="I33" s="72"/>
      <c r="J33" s="81"/>
      <c r="K33" s="74"/>
      <c r="L33" s="82"/>
      <c r="M33" s="63"/>
      <c r="N33" s="63"/>
    </row>
    <row r="34">
      <c r="A34" s="18"/>
      <c r="B34" s="74"/>
      <c r="C34" s="20"/>
      <c r="D34" s="75">
        <v>8.0</v>
      </c>
      <c r="E34" s="75"/>
      <c r="F34" s="75"/>
      <c r="G34" s="76">
        <f>SUM(D34,E34,F34)</f>
        <v>8</v>
      </c>
      <c r="H34" s="77">
        <f>AVERAGE(D34,E34,F34)</f>
        <v>8</v>
      </c>
      <c r="I34" s="72"/>
      <c r="J34" s="78">
        <v>5.0</v>
      </c>
      <c r="K34" s="79"/>
      <c r="L34" s="80">
        <f>H34*J34</f>
        <v>40</v>
      </c>
      <c r="M34" s="63"/>
      <c r="N34" s="63"/>
    </row>
    <row r="35">
      <c r="A35" s="68">
        <f>A33+1</f>
        <v>17</v>
      </c>
      <c r="B35" s="69" t="s">
        <v>60</v>
      </c>
      <c r="C35" s="12"/>
      <c r="D35" s="70" t="s">
        <v>61</v>
      </c>
      <c r="E35" s="70" t="s">
        <v>62</v>
      </c>
      <c r="F35" s="70" t="s">
        <v>63</v>
      </c>
      <c r="G35" s="71"/>
      <c r="H35" s="71"/>
      <c r="I35" s="72"/>
      <c r="J35" s="81"/>
      <c r="K35" s="74"/>
      <c r="L35" s="82"/>
      <c r="M35" s="63"/>
      <c r="N35" s="63"/>
    </row>
    <row r="36">
      <c r="A36" s="18"/>
      <c r="B36" s="74"/>
      <c r="C36" s="20"/>
      <c r="D36" s="75">
        <v>6.29</v>
      </c>
      <c r="E36" s="75"/>
      <c r="F36" s="75"/>
      <c r="G36" s="76">
        <f>SUM(D36,E36,F36)</f>
        <v>6.29</v>
      </c>
      <c r="H36" s="77">
        <f>AVERAGE(D36,E36,F36)</f>
        <v>6.29</v>
      </c>
      <c r="I36" s="72"/>
      <c r="J36" s="78">
        <v>7.5</v>
      </c>
      <c r="K36" s="79"/>
      <c r="L36" s="80">
        <f>H36*J36</f>
        <v>47.175</v>
      </c>
      <c r="M36" s="63"/>
      <c r="N36" s="63"/>
    </row>
    <row r="37">
      <c r="A37" s="68">
        <f>A35+1</f>
        <v>18</v>
      </c>
      <c r="B37" s="69" t="s">
        <v>64</v>
      </c>
      <c r="C37" s="12"/>
      <c r="D37" s="70" t="s">
        <v>61</v>
      </c>
      <c r="E37" s="70" t="s">
        <v>135</v>
      </c>
      <c r="F37" s="70" t="s">
        <v>63</v>
      </c>
      <c r="G37" s="71"/>
      <c r="H37" s="71"/>
      <c r="I37" s="72"/>
      <c r="J37" s="81"/>
      <c r="K37" s="74"/>
      <c r="L37" s="82"/>
      <c r="M37" s="63"/>
      <c r="N37" s="63"/>
    </row>
    <row r="38">
      <c r="A38" s="18"/>
      <c r="B38" s="74"/>
      <c r="C38" s="20"/>
      <c r="D38" s="75">
        <v>19.9</v>
      </c>
      <c r="E38" s="75"/>
      <c r="F38" s="75"/>
      <c r="G38" s="76">
        <f>SUM(D38,E38,F38)</f>
        <v>19.9</v>
      </c>
      <c r="H38" s="77">
        <f>AVERAGE(D38,E38,F38)</f>
        <v>19.9</v>
      </c>
      <c r="I38" s="72"/>
      <c r="J38" s="78">
        <v>3.0</v>
      </c>
      <c r="K38" s="79"/>
      <c r="L38" s="80">
        <f>H38*J38</f>
        <v>59.7</v>
      </c>
      <c r="M38" s="63"/>
      <c r="N38" s="63"/>
    </row>
    <row r="39">
      <c r="A39" s="68">
        <f>A37+1</f>
        <v>19</v>
      </c>
      <c r="B39" s="69" t="s">
        <v>66</v>
      </c>
      <c r="C39" s="12"/>
      <c r="D39" s="70" t="s">
        <v>166</v>
      </c>
      <c r="E39" s="70" t="s">
        <v>136</v>
      </c>
      <c r="F39" s="70" t="s">
        <v>26</v>
      </c>
      <c r="G39" s="71"/>
      <c r="H39" s="71"/>
      <c r="I39" s="72"/>
      <c r="J39" s="81"/>
      <c r="K39" s="74"/>
      <c r="L39" s="82"/>
      <c r="M39" s="63"/>
      <c r="N39" s="63"/>
    </row>
    <row r="40">
      <c r="A40" s="18"/>
      <c r="B40" s="74"/>
      <c r="C40" s="20"/>
      <c r="D40" s="75"/>
      <c r="E40" s="75">
        <v>5.59</v>
      </c>
      <c r="F40" s="75">
        <v>4.79</v>
      </c>
      <c r="G40" s="76">
        <f>SUM(D40,E40,F40)</f>
        <v>10.38</v>
      </c>
      <c r="H40" s="77">
        <f>AVERAGE(D40,E40,F40)</f>
        <v>5.19</v>
      </c>
      <c r="I40" s="72"/>
      <c r="J40" s="78">
        <v>4.0</v>
      </c>
      <c r="K40" s="79"/>
      <c r="L40" s="80">
        <f>H40*J40</f>
        <v>20.76</v>
      </c>
      <c r="M40" s="63"/>
      <c r="N40" s="63"/>
    </row>
    <row r="41">
      <c r="A41" s="68">
        <f>A39+1</f>
        <v>20</v>
      </c>
      <c r="B41" s="69" t="s">
        <v>68</v>
      </c>
      <c r="C41" s="12"/>
      <c r="D41" s="70" t="s">
        <v>137</v>
      </c>
      <c r="E41" s="70" t="s">
        <v>70</v>
      </c>
      <c r="F41" s="70" t="s">
        <v>71</v>
      </c>
      <c r="G41" s="71"/>
      <c r="H41" s="71"/>
      <c r="I41" s="72"/>
      <c r="J41" s="81"/>
      <c r="K41" s="74"/>
      <c r="L41" s="82"/>
      <c r="M41" s="63"/>
      <c r="N41" s="63"/>
    </row>
    <row r="42">
      <c r="A42" s="18"/>
      <c r="B42" s="74"/>
      <c r="C42" s="20"/>
      <c r="D42" s="75"/>
      <c r="E42" s="75"/>
      <c r="F42" s="75">
        <v>3.49</v>
      </c>
      <c r="G42" s="76">
        <f>SUM(D42,E42,F42)</f>
        <v>3.49</v>
      </c>
      <c r="H42" s="77">
        <f>AVERAGE(D42,E42,F42)</f>
        <v>3.49</v>
      </c>
      <c r="I42" s="72"/>
      <c r="J42" s="78">
        <v>4.0</v>
      </c>
      <c r="K42" s="79"/>
      <c r="L42" s="80">
        <f>H42*J42</f>
        <v>13.96</v>
      </c>
      <c r="M42" s="63"/>
      <c r="N42" s="63"/>
    </row>
    <row r="43">
      <c r="A43" s="68">
        <f>A41+1</f>
        <v>21</v>
      </c>
      <c r="B43" s="69" t="s">
        <v>72</v>
      </c>
      <c r="C43" s="12"/>
      <c r="D43" s="70" t="s">
        <v>73</v>
      </c>
      <c r="E43" s="70" t="s">
        <v>74</v>
      </c>
      <c r="F43" s="70" t="s">
        <v>138</v>
      </c>
      <c r="G43" s="71"/>
      <c r="H43" s="71"/>
      <c r="I43" s="72"/>
      <c r="J43" s="81"/>
      <c r="K43" s="74"/>
      <c r="L43" s="82"/>
      <c r="M43" s="63"/>
      <c r="N43" s="63"/>
    </row>
    <row r="44">
      <c r="A44" s="18"/>
      <c r="B44" s="74"/>
      <c r="C44" s="20"/>
      <c r="D44" s="75">
        <v>35.99</v>
      </c>
      <c r="E44" s="75"/>
      <c r="F44" s="75"/>
      <c r="G44" s="76">
        <f>SUM(D44,E44,F44)</f>
        <v>35.99</v>
      </c>
      <c r="H44" s="77">
        <f>AVERAGE(D44,E44,F44)</f>
        <v>35.99</v>
      </c>
      <c r="I44" s="72"/>
      <c r="J44" s="78">
        <v>3.0</v>
      </c>
      <c r="K44" s="79"/>
      <c r="L44" s="80">
        <f>H44*J44</f>
        <v>107.97</v>
      </c>
      <c r="M44" s="63"/>
      <c r="N44" s="63"/>
    </row>
    <row r="45">
      <c r="A45" s="68">
        <f>A43+1</f>
        <v>22</v>
      </c>
      <c r="B45" s="69" t="s">
        <v>76</v>
      </c>
      <c r="C45" s="12"/>
      <c r="D45" s="70" t="s">
        <v>77</v>
      </c>
      <c r="E45" s="70" t="s">
        <v>78</v>
      </c>
      <c r="F45" s="70" t="s">
        <v>139</v>
      </c>
      <c r="G45" s="71"/>
      <c r="H45" s="71"/>
      <c r="I45" s="72"/>
      <c r="J45" s="81"/>
      <c r="K45" s="74"/>
      <c r="L45" s="82"/>
      <c r="M45" s="63"/>
      <c r="N45" s="63"/>
    </row>
    <row r="46">
      <c r="A46" s="18"/>
      <c r="B46" s="74"/>
      <c r="C46" s="20"/>
      <c r="D46" s="75">
        <v>29.99</v>
      </c>
      <c r="E46" s="75">
        <v>25.0</v>
      </c>
      <c r="F46" s="75"/>
      <c r="G46" s="76">
        <f>SUM(D46,E46,F46)</f>
        <v>54.99</v>
      </c>
      <c r="H46" s="77">
        <f>AVERAGE(D46,E46,F46)</f>
        <v>27.495</v>
      </c>
      <c r="I46" s="72"/>
      <c r="J46" s="78">
        <v>4.0</v>
      </c>
      <c r="K46" s="79"/>
      <c r="L46" s="80">
        <f>H46*J46</f>
        <v>109.98</v>
      </c>
      <c r="M46" s="63"/>
      <c r="N46" s="63"/>
    </row>
    <row r="47">
      <c r="A47" s="68">
        <f>A45+1</f>
        <v>23</v>
      </c>
      <c r="B47" s="69" t="s">
        <v>80</v>
      </c>
      <c r="C47" s="12"/>
      <c r="D47" s="70" t="s">
        <v>167</v>
      </c>
      <c r="E47" s="70" t="s">
        <v>82</v>
      </c>
      <c r="F47" s="83" t="s">
        <v>33</v>
      </c>
      <c r="G47" s="71"/>
      <c r="H47" s="71"/>
      <c r="I47" s="72"/>
      <c r="J47" s="81"/>
      <c r="K47" s="74"/>
      <c r="L47" s="82"/>
      <c r="M47" s="63"/>
      <c r="N47" s="63"/>
    </row>
    <row r="48">
      <c r="A48" s="18"/>
      <c r="B48" s="74"/>
      <c r="C48" s="20"/>
      <c r="D48" s="75">
        <v>11.99</v>
      </c>
      <c r="E48" s="75"/>
      <c r="F48" s="84"/>
      <c r="G48" s="76">
        <f>SUM(D48,E48,F48)</f>
        <v>11.99</v>
      </c>
      <c r="H48" s="77">
        <f>AVERAGE(D48,E48,F48)</f>
        <v>11.99</v>
      </c>
      <c r="I48" s="72"/>
      <c r="J48" s="78">
        <v>5.0</v>
      </c>
      <c r="K48" s="79"/>
      <c r="L48" s="80">
        <f>H48*J48</f>
        <v>59.95</v>
      </c>
      <c r="M48" s="63"/>
      <c r="N48" s="63"/>
    </row>
    <row r="49">
      <c r="A49" s="68">
        <f>A47+1</f>
        <v>24</v>
      </c>
      <c r="B49" s="69" t="s">
        <v>83</v>
      </c>
      <c r="C49" s="12"/>
      <c r="D49" s="70" t="s">
        <v>167</v>
      </c>
      <c r="E49" s="70" t="s">
        <v>82</v>
      </c>
      <c r="F49" s="70" t="s">
        <v>85</v>
      </c>
      <c r="G49" s="71"/>
      <c r="H49" s="71"/>
      <c r="I49" s="72"/>
      <c r="J49" s="81"/>
      <c r="K49" s="74"/>
      <c r="L49" s="82"/>
      <c r="M49" s="63"/>
      <c r="N49" s="63"/>
    </row>
    <row r="50">
      <c r="A50" s="18"/>
      <c r="B50" s="74"/>
      <c r="C50" s="20"/>
      <c r="D50" s="75">
        <v>8.99</v>
      </c>
      <c r="E50" s="75"/>
      <c r="F50" s="75"/>
      <c r="G50" s="76">
        <f>SUM(D50,E50,F50)</f>
        <v>8.99</v>
      </c>
      <c r="H50" s="77">
        <f>AVERAGE(D50,E50,F50)</f>
        <v>8.99</v>
      </c>
      <c r="I50" s="72"/>
      <c r="J50" s="78">
        <v>0.5</v>
      </c>
      <c r="K50" s="79"/>
      <c r="L50" s="80">
        <f>H50*J50</f>
        <v>4.495</v>
      </c>
      <c r="M50" s="63"/>
      <c r="N50" s="63"/>
    </row>
    <row r="51">
      <c r="A51" s="68">
        <f>A49+1</f>
        <v>25</v>
      </c>
      <c r="B51" s="69" t="s">
        <v>86</v>
      </c>
      <c r="C51" s="12"/>
      <c r="D51" s="70" t="s">
        <v>84</v>
      </c>
      <c r="E51" s="70" t="s">
        <v>82</v>
      </c>
      <c r="F51" s="70" t="s">
        <v>141</v>
      </c>
      <c r="G51" s="71"/>
      <c r="H51" s="71"/>
      <c r="I51" s="72"/>
      <c r="J51" s="81"/>
      <c r="K51" s="74"/>
      <c r="L51" s="82"/>
      <c r="M51" s="63"/>
      <c r="N51" s="63"/>
    </row>
    <row r="52">
      <c r="A52" s="18"/>
      <c r="B52" s="74"/>
      <c r="C52" s="20"/>
      <c r="D52" s="75">
        <v>14.6</v>
      </c>
      <c r="E52" s="75">
        <v>16.0</v>
      </c>
      <c r="F52" s="103"/>
      <c r="G52" s="76">
        <f>SUM(D52,E52,F52)</f>
        <v>30.6</v>
      </c>
      <c r="H52" s="77">
        <f>AVERAGE(D52,E52,F52)</f>
        <v>15.3</v>
      </c>
      <c r="I52" s="72"/>
      <c r="J52" s="78">
        <v>0.3</v>
      </c>
      <c r="K52" s="79"/>
      <c r="L52" s="80">
        <f>H52*J52</f>
        <v>4.59</v>
      </c>
      <c r="M52" s="63"/>
      <c r="N52" s="63"/>
    </row>
    <row r="53">
      <c r="A53" s="68">
        <f>A51+1</f>
        <v>26</v>
      </c>
      <c r="B53" s="69" t="s">
        <v>88</v>
      </c>
      <c r="C53" s="12"/>
      <c r="D53" s="70" t="s">
        <v>168</v>
      </c>
      <c r="E53" s="70" t="s">
        <v>90</v>
      </c>
      <c r="F53" s="70" t="s">
        <v>143</v>
      </c>
      <c r="G53" s="71"/>
      <c r="H53" s="71"/>
      <c r="I53" s="72"/>
      <c r="J53" s="81"/>
      <c r="K53" s="74"/>
      <c r="L53" s="82"/>
      <c r="M53" s="63"/>
      <c r="N53" s="63"/>
    </row>
    <row r="54">
      <c r="A54" s="18"/>
      <c r="B54" s="74"/>
      <c r="C54" s="20"/>
      <c r="D54" s="75">
        <v>47.99</v>
      </c>
      <c r="E54" s="75"/>
      <c r="F54" s="75"/>
      <c r="G54" s="76">
        <f>SUM(D54,E54,F54)</f>
        <v>47.99</v>
      </c>
      <c r="H54" s="77">
        <f>AVERAGE(D54,E54,F54)</f>
        <v>47.99</v>
      </c>
      <c r="I54" s="85"/>
      <c r="J54" s="78">
        <v>0.5</v>
      </c>
      <c r="K54" s="85"/>
      <c r="L54" s="80">
        <f>H54*J54</f>
        <v>23.995</v>
      </c>
      <c r="M54" s="63"/>
      <c r="N54" s="63"/>
    </row>
    <row r="55">
      <c r="A55" s="86" t="s">
        <v>106</v>
      </c>
      <c r="B55" s="74"/>
      <c r="C55" s="74"/>
      <c r="D55" s="74"/>
      <c r="E55" s="74"/>
      <c r="F55" s="74"/>
      <c r="G55" s="82"/>
      <c r="H55" s="87">
        <f>SUM(H4:H54)</f>
        <v>388.4916667</v>
      </c>
      <c r="I55" s="85"/>
      <c r="J55" s="88" t="s">
        <v>6</v>
      </c>
      <c r="K55" s="20"/>
      <c r="L55" s="89">
        <f>SUM(L4:L54)</f>
        <v>1089.108</v>
      </c>
      <c r="M55" s="63"/>
      <c r="N55" s="63"/>
    </row>
    <row r="56">
      <c r="A56" s="90" t="s">
        <v>144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</row>
    <row r="57">
      <c r="A57" s="68">
        <f>A53+1</f>
        <v>27</v>
      </c>
      <c r="B57" s="69" t="s">
        <v>145</v>
      </c>
      <c r="C57" s="12"/>
      <c r="D57" s="70" t="s">
        <v>94</v>
      </c>
      <c r="E57" s="70" t="s">
        <v>95</v>
      </c>
      <c r="F57" s="70" t="s">
        <v>96</v>
      </c>
      <c r="G57" s="71"/>
      <c r="H57" s="71"/>
      <c r="I57" s="72"/>
      <c r="J57" s="81"/>
      <c r="K57" s="74"/>
      <c r="L57" s="82"/>
      <c r="M57" s="63"/>
      <c r="N57" s="63"/>
    </row>
    <row r="58">
      <c r="A58" s="18"/>
      <c r="B58" s="74"/>
      <c r="C58" s="20"/>
      <c r="D58" s="75">
        <v>6.59</v>
      </c>
      <c r="E58" s="75"/>
      <c r="F58" s="75"/>
      <c r="G58" s="76">
        <f>SUM(D58,E58,F58)</f>
        <v>6.59</v>
      </c>
      <c r="H58" s="77">
        <f>AVERAGE(D58,E58,F58)</f>
        <v>6.59</v>
      </c>
      <c r="I58" s="72"/>
      <c r="J58" s="78">
        <v>4.0</v>
      </c>
      <c r="K58" s="79"/>
      <c r="L58" s="80">
        <f>H58*J58</f>
        <v>26.36</v>
      </c>
      <c r="M58" s="63"/>
      <c r="N58" s="63"/>
    </row>
    <row r="59">
      <c r="A59" s="68">
        <f>A57+1</f>
        <v>28</v>
      </c>
      <c r="B59" s="69" t="s">
        <v>97</v>
      </c>
      <c r="C59" s="12"/>
      <c r="D59" s="70" t="s">
        <v>99</v>
      </c>
      <c r="E59" s="70" t="s">
        <v>104</v>
      </c>
      <c r="F59" s="70" t="s">
        <v>33</v>
      </c>
      <c r="G59" s="71"/>
      <c r="H59" s="71"/>
      <c r="I59" s="72"/>
      <c r="J59" s="81"/>
      <c r="K59" s="74"/>
      <c r="L59" s="82"/>
      <c r="M59" s="63"/>
      <c r="N59" s="63"/>
    </row>
    <row r="60">
      <c r="A60" s="18"/>
      <c r="B60" s="74"/>
      <c r="C60" s="20"/>
      <c r="D60" s="75">
        <v>2.99</v>
      </c>
      <c r="E60" s="75">
        <v>2.35</v>
      </c>
      <c r="F60" s="84"/>
      <c r="G60" s="76">
        <f>SUM(D60,E60,F60)</f>
        <v>5.34</v>
      </c>
      <c r="H60" s="77">
        <f>AVERAGE(D60,E60,F60)</f>
        <v>2.67</v>
      </c>
      <c r="I60" s="72"/>
      <c r="J60" s="78">
        <v>15.0</v>
      </c>
      <c r="K60" s="79"/>
      <c r="L60" s="80">
        <f>H60*J60</f>
        <v>40.05</v>
      </c>
      <c r="M60" s="63"/>
      <c r="N60" s="63"/>
    </row>
    <row r="61">
      <c r="A61" s="68">
        <f>A59+1</f>
        <v>29</v>
      </c>
      <c r="B61" s="69" t="s">
        <v>100</v>
      </c>
      <c r="C61" s="12"/>
      <c r="D61" s="70" t="s">
        <v>146</v>
      </c>
      <c r="E61" s="70" t="s">
        <v>147</v>
      </c>
      <c r="F61" s="70" t="s">
        <v>148</v>
      </c>
      <c r="G61" s="71"/>
      <c r="H61" s="71"/>
      <c r="I61" s="72"/>
      <c r="J61" s="81"/>
      <c r="K61" s="74"/>
      <c r="L61" s="82"/>
      <c r="M61" s="63"/>
      <c r="N61" s="63"/>
    </row>
    <row r="62">
      <c r="A62" s="18"/>
      <c r="B62" s="74"/>
      <c r="C62" s="20"/>
      <c r="D62" s="75">
        <v>4.29</v>
      </c>
      <c r="E62" s="75">
        <v>4.99</v>
      </c>
      <c r="F62" s="75"/>
      <c r="G62" s="76">
        <f>SUM(D62,E62,F62)</f>
        <v>9.28</v>
      </c>
      <c r="H62" s="77">
        <f>AVERAGE(D62,E62,F62)</f>
        <v>4.64</v>
      </c>
      <c r="I62" s="72"/>
      <c r="J62" s="78">
        <v>2.0</v>
      </c>
      <c r="K62" s="79"/>
      <c r="L62" s="80">
        <f>H62*J62</f>
        <v>9.28</v>
      </c>
      <c r="M62" s="63"/>
      <c r="N62" s="63"/>
    </row>
    <row r="63">
      <c r="A63" s="68">
        <f>A61+1</f>
        <v>30</v>
      </c>
      <c r="B63" s="69" t="s">
        <v>103</v>
      </c>
      <c r="C63" s="12"/>
      <c r="D63" s="70" t="s">
        <v>162</v>
      </c>
      <c r="E63" s="70" t="s">
        <v>104</v>
      </c>
      <c r="F63" s="83" t="s">
        <v>105</v>
      </c>
      <c r="G63" s="71"/>
      <c r="H63" s="71"/>
      <c r="I63" s="72"/>
      <c r="J63" s="81"/>
      <c r="K63" s="74"/>
      <c r="L63" s="82"/>
      <c r="M63" s="63"/>
      <c r="N63" s="63"/>
    </row>
    <row r="64">
      <c r="A64" s="18"/>
      <c r="B64" s="74"/>
      <c r="C64" s="20"/>
      <c r="D64" s="75">
        <v>2.99</v>
      </c>
      <c r="E64" s="75">
        <v>2.99</v>
      </c>
      <c r="F64" s="75"/>
      <c r="G64" s="76">
        <f>SUM(D64,E64,F64)</f>
        <v>5.98</v>
      </c>
      <c r="H64" s="77">
        <f>AVERAGE(D64,E64,F64)</f>
        <v>2.99</v>
      </c>
      <c r="I64" s="85"/>
      <c r="J64" s="78">
        <v>2.0</v>
      </c>
      <c r="K64" s="79"/>
      <c r="L64" s="80">
        <f>H64*J64</f>
        <v>5.98</v>
      </c>
      <c r="M64" s="63"/>
      <c r="N64" s="63"/>
    </row>
    <row r="65">
      <c r="A65" s="86" t="s">
        <v>106</v>
      </c>
      <c r="B65" s="74"/>
      <c r="C65" s="74"/>
      <c r="D65" s="74"/>
      <c r="E65" s="74"/>
      <c r="F65" s="74"/>
      <c r="G65" s="82"/>
      <c r="H65" s="87">
        <f>SUM(H57:H64)</f>
        <v>16.89</v>
      </c>
      <c r="I65" s="85"/>
      <c r="J65" s="88" t="s">
        <v>6</v>
      </c>
      <c r="K65" s="20"/>
      <c r="L65" s="89">
        <f>SUM(L57:L64)</f>
        <v>81.67</v>
      </c>
      <c r="M65" s="63"/>
      <c r="N65" s="63"/>
    </row>
    <row r="66">
      <c r="A66" s="90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</row>
    <row r="67">
      <c r="A67" s="68">
        <f>A63+1</f>
        <v>31</v>
      </c>
      <c r="B67" s="69" t="s">
        <v>108</v>
      </c>
      <c r="C67" s="12"/>
      <c r="D67" s="70" t="s">
        <v>109</v>
      </c>
      <c r="E67" s="70" t="s">
        <v>149</v>
      </c>
      <c r="F67" s="70" t="s">
        <v>150</v>
      </c>
      <c r="G67" s="71"/>
      <c r="H67" s="71"/>
      <c r="I67" s="72"/>
      <c r="J67" s="81"/>
      <c r="K67" s="74"/>
      <c r="L67" s="82"/>
      <c r="M67" s="63"/>
      <c r="N67" s="63"/>
    </row>
    <row r="68">
      <c r="A68" s="18"/>
      <c r="B68" s="74"/>
      <c r="C68" s="20"/>
      <c r="D68" s="75">
        <v>4.29</v>
      </c>
      <c r="E68" s="75">
        <v>4.99</v>
      </c>
      <c r="F68" s="75"/>
      <c r="G68" s="76">
        <f>SUM(D68,E68,F68)</f>
        <v>9.28</v>
      </c>
      <c r="H68" s="77">
        <f>AVERAGE(D68,E68,F68)</f>
        <v>4.64</v>
      </c>
      <c r="I68" s="72"/>
      <c r="J68" s="78">
        <v>3.0</v>
      </c>
      <c r="K68" s="79"/>
      <c r="L68" s="80">
        <f>H68*J68</f>
        <v>13.92</v>
      </c>
      <c r="M68" s="63"/>
      <c r="N68" s="63"/>
    </row>
    <row r="69">
      <c r="A69" s="68">
        <f>A67+1</f>
        <v>32</v>
      </c>
      <c r="B69" s="69" t="s">
        <v>112</v>
      </c>
      <c r="C69" s="12"/>
      <c r="D69" s="70" t="s">
        <v>113</v>
      </c>
      <c r="E69" s="70" t="s">
        <v>114</v>
      </c>
      <c r="F69" s="70" t="s">
        <v>33</v>
      </c>
      <c r="G69" s="71"/>
      <c r="H69" s="71"/>
      <c r="I69" s="72"/>
      <c r="J69" s="81"/>
      <c r="K69" s="74"/>
      <c r="L69" s="82"/>
      <c r="M69" s="63"/>
      <c r="N69" s="63"/>
    </row>
    <row r="70">
      <c r="A70" s="18"/>
      <c r="B70" s="74"/>
      <c r="C70" s="20"/>
      <c r="D70" s="75"/>
      <c r="E70" s="75">
        <v>4.39</v>
      </c>
      <c r="F70" s="84"/>
      <c r="G70" s="76">
        <f>SUM(D70,E70,F70)</f>
        <v>4.39</v>
      </c>
      <c r="H70" s="77">
        <f>AVERAGE(D70,E70,F70)</f>
        <v>4.39</v>
      </c>
      <c r="I70" s="72"/>
      <c r="J70" s="78">
        <v>2.0</v>
      </c>
      <c r="K70" s="79"/>
      <c r="L70" s="80">
        <f>H70*J70</f>
        <v>8.78</v>
      </c>
      <c r="M70" s="63"/>
      <c r="N70" s="63"/>
    </row>
    <row r="71">
      <c r="A71" s="68">
        <f>A69+1</f>
        <v>33</v>
      </c>
      <c r="B71" s="69" t="s">
        <v>115</v>
      </c>
      <c r="C71" s="12"/>
      <c r="D71" s="70" t="s">
        <v>116</v>
      </c>
      <c r="E71" s="70" t="s">
        <v>117</v>
      </c>
      <c r="F71" s="70" t="s">
        <v>33</v>
      </c>
      <c r="G71" s="71"/>
      <c r="H71" s="71"/>
      <c r="I71" s="72"/>
      <c r="J71" s="81"/>
      <c r="K71" s="74"/>
      <c r="L71" s="82"/>
      <c r="M71" s="63"/>
      <c r="N71" s="63"/>
    </row>
    <row r="72">
      <c r="A72" s="18"/>
      <c r="B72" s="74"/>
      <c r="C72" s="20"/>
      <c r="D72" s="75">
        <v>2.75</v>
      </c>
      <c r="E72" s="104">
        <v>3.15</v>
      </c>
      <c r="F72" s="84"/>
      <c r="G72" s="76">
        <f>SUM(D72,E72,F72)</f>
        <v>5.9</v>
      </c>
      <c r="H72" s="77">
        <f>AVERAGE(D72,E72,F72)</f>
        <v>2.95</v>
      </c>
      <c r="I72" s="72"/>
      <c r="J72" s="78">
        <v>10.0</v>
      </c>
      <c r="K72" s="79"/>
      <c r="L72" s="80">
        <f>H72*J72</f>
        <v>29.5</v>
      </c>
      <c r="M72" s="63"/>
      <c r="N72" s="63"/>
    </row>
    <row r="73">
      <c r="A73" s="68">
        <f>A71+1</f>
        <v>34</v>
      </c>
      <c r="B73" s="69" t="s">
        <v>119</v>
      </c>
      <c r="C73" s="12"/>
      <c r="D73" s="83" t="s">
        <v>120</v>
      </c>
      <c r="E73" s="83" t="s">
        <v>152</v>
      </c>
      <c r="F73" s="70" t="s">
        <v>33</v>
      </c>
      <c r="G73" s="71"/>
      <c r="H73" s="71"/>
      <c r="I73" s="72"/>
      <c r="J73" s="81"/>
      <c r="K73" s="74"/>
      <c r="L73" s="82"/>
      <c r="M73" s="63"/>
      <c r="N73" s="63"/>
    </row>
    <row r="74">
      <c r="A74" s="18"/>
      <c r="B74" s="74"/>
      <c r="C74" s="20"/>
      <c r="D74" s="75">
        <v>19.79</v>
      </c>
      <c r="E74" s="75">
        <v>14.99</v>
      </c>
      <c r="F74" s="84"/>
      <c r="G74" s="76">
        <f>SUM(D74,E74,F74)</f>
        <v>34.78</v>
      </c>
      <c r="H74" s="77">
        <f>AVERAGE(D74,E74,F74)</f>
        <v>17.39</v>
      </c>
      <c r="I74" s="72"/>
      <c r="J74" s="78">
        <v>2.0</v>
      </c>
      <c r="K74" s="79"/>
      <c r="L74" s="80">
        <f>H74*J74</f>
        <v>34.78</v>
      </c>
      <c r="M74" s="63"/>
      <c r="N74" s="63"/>
    </row>
    <row r="75">
      <c r="A75" s="68">
        <f>A73+1</f>
        <v>35</v>
      </c>
      <c r="B75" s="69" t="s">
        <v>122</v>
      </c>
      <c r="C75" s="12"/>
      <c r="D75" s="70" t="s">
        <v>123</v>
      </c>
      <c r="E75" s="70" t="s">
        <v>124</v>
      </c>
      <c r="F75" s="70" t="s">
        <v>33</v>
      </c>
      <c r="G75" s="71"/>
      <c r="H75" s="71"/>
      <c r="I75" s="72"/>
      <c r="J75" s="81"/>
      <c r="K75" s="74"/>
      <c r="L75" s="82"/>
      <c r="M75" s="63"/>
      <c r="N75" s="63"/>
    </row>
    <row r="76">
      <c r="A76" s="18"/>
      <c r="B76" s="74"/>
      <c r="C76" s="20"/>
      <c r="D76" s="75">
        <v>3.99</v>
      </c>
      <c r="E76" s="75">
        <v>5.99</v>
      </c>
      <c r="F76" s="84"/>
      <c r="G76" s="76">
        <f>SUM(D76,E76,F76)</f>
        <v>9.98</v>
      </c>
      <c r="H76" s="77">
        <f>AVERAGE(D76,E76,F76)</f>
        <v>4.99</v>
      </c>
      <c r="I76" s="85"/>
      <c r="J76" s="78">
        <v>1.0</v>
      </c>
      <c r="K76" s="79"/>
      <c r="L76" s="80">
        <f>H76*J76</f>
        <v>4.99</v>
      </c>
      <c r="M76" s="63"/>
      <c r="N76" s="63"/>
    </row>
    <row r="77">
      <c r="A77" s="86" t="s">
        <v>106</v>
      </c>
      <c r="B77" s="74"/>
      <c r="C77" s="74"/>
      <c r="D77" s="74"/>
      <c r="E77" s="74"/>
      <c r="F77" s="74"/>
      <c r="G77" s="82"/>
      <c r="H77" s="87">
        <f>SUM(H68:H76)</f>
        <v>34.36</v>
      </c>
      <c r="I77" s="85"/>
      <c r="J77" s="88" t="s">
        <v>6</v>
      </c>
      <c r="K77" s="20"/>
      <c r="L77" s="89">
        <f>SUM(L68:L76)</f>
        <v>91.97</v>
      </c>
      <c r="M77" s="63"/>
      <c r="N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439.7416667</v>
      </c>
      <c r="I80" s="63"/>
      <c r="J80" s="72"/>
      <c r="K80" s="97" t="s">
        <v>6</v>
      </c>
      <c r="L80" s="89">
        <f>L55+L65+L77</f>
        <v>1262.748</v>
      </c>
      <c r="M80" s="63"/>
      <c r="N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</row>
    <row r="83">
      <c r="A83" s="63"/>
      <c r="B83" s="63"/>
      <c r="C83" s="63"/>
      <c r="D83" s="63"/>
      <c r="E83" s="63"/>
      <c r="F83" s="63"/>
      <c r="G83" s="63"/>
      <c r="H83" s="92"/>
      <c r="I83" s="63"/>
      <c r="J83" s="63"/>
      <c r="K83" s="63"/>
      <c r="L83" s="92"/>
      <c r="M83" s="63"/>
      <c r="N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/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>
      <c r="A2" s="102" t="s">
        <v>169</v>
      </c>
      <c r="B2" s="65"/>
      <c r="C2" s="65"/>
      <c r="D2" s="65"/>
      <c r="E2" s="66"/>
      <c r="F2" s="67" t="s">
        <v>1</v>
      </c>
      <c r="G2" s="65"/>
      <c r="H2" s="65"/>
      <c r="I2" s="65"/>
      <c r="J2" s="65"/>
      <c r="K2" s="65"/>
      <c r="L2" s="66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</row>
    <row r="3">
      <c r="A3" s="68">
        <v>1.0</v>
      </c>
      <c r="B3" s="69" t="s">
        <v>2</v>
      </c>
      <c r="C3" s="12"/>
      <c r="D3" s="70" t="s">
        <v>3</v>
      </c>
      <c r="E3" s="70" t="s">
        <v>4</v>
      </c>
      <c r="F3" s="70" t="s">
        <v>126</v>
      </c>
      <c r="G3" s="71" t="s">
        <v>6</v>
      </c>
      <c r="H3" s="71" t="s">
        <v>7</v>
      </c>
      <c r="I3" s="72"/>
      <c r="J3" s="70" t="s">
        <v>8</v>
      </c>
      <c r="K3" s="70" t="s">
        <v>9</v>
      </c>
      <c r="L3" s="73" t="s">
        <v>10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</row>
    <row r="4">
      <c r="A4" s="18"/>
      <c r="B4" s="74"/>
      <c r="C4" s="20"/>
      <c r="D4" s="75">
        <v>33.0</v>
      </c>
      <c r="E4" s="75">
        <v>31.49</v>
      </c>
      <c r="F4" s="75"/>
      <c r="G4" s="76">
        <f>SUM(D4,E4,F4)</f>
        <v>64.49</v>
      </c>
      <c r="H4" s="77">
        <f>AVERAGE(D4,E4,F4)</f>
        <v>32.245</v>
      </c>
      <c r="I4" s="72"/>
      <c r="J4" s="78">
        <v>3.0</v>
      </c>
      <c r="K4" s="79" t="s">
        <v>11</v>
      </c>
      <c r="L4" s="80">
        <f>H4*J4</f>
        <v>96.735</v>
      </c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</row>
    <row r="5">
      <c r="A5" s="68">
        <f>A3+1</f>
        <v>2</v>
      </c>
      <c r="B5" s="69" t="s">
        <v>12</v>
      </c>
      <c r="C5" s="12"/>
      <c r="D5" s="70" t="s">
        <v>3</v>
      </c>
      <c r="E5" s="70" t="s">
        <v>13</v>
      </c>
      <c r="F5" s="70" t="s">
        <v>127</v>
      </c>
      <c r="G5" s="71"/>
      <c r="H5" s="71"/>
      <c r="I5" s="72"/>
      <c r="J5" s="81"/>
      <c r="K5" s="74"/>
      <c r="L5" s="82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</row>
    <row r="6">
      <c r="A6" s="18"/>
      <c r="B6" s="74"/>
      <c r="C6" s="20"/>
      <c r="D6" s="75">
        <v>6.3</v>
      </c>
      <c r="E6" s="75">
        <v>5.99</v>
      </c>
      <c r="F6" s="75"/>
      <c r="G6" s="76">
        <f>SUM(D6,E6,F6)</f>
        <v>12.29</v>
      </c>
      <c r="H6" s="77">
        <f>AVERAGE(D6,E6,F6)</f>
        <v>6.145</v>
      </c>
      <c r="I6" s="72"/>
      <c r="J6" s="78">
        <v>4.0</v>
      </c>
      <c r="K6" s="79"/>
      <c r="L6" s="80">
        <f>H6*J6</f>
        <v>24.58</v>
      </c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</row>
    <row r="7">
      <c r="A7" s="68">
        <f>A5+1</f>
        <v>3</v>
      </c>
      <c r="B7" s="69" t="s">
        <v>15</v>
      </c>
      <c r="C7" s="12"/>
      <c r="D7" s="70" t="s">
        <v>16</v>
      </c>
      <c r="E7" s="70" t="s">
        <v>129</v>
      </c>
      <c r="F7" s="70" t="s">
        <v>18</v>
      </c>
      <c r="G7" s="71"/>
      <c r="H7" s="71"/>
      <c r="I7" s="72"/>
      <c r="J7" s="81"/>
      <c r="K7" s="74"/>
      <c r="L7" s="82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</row>
    <row r="8">
      <c r="A8" s="18"/>
      <c r="B8" s="74"/>
      <c r="C8" s="20"/>
      <c r="D8" s="75">
        <v>17.99</v>
      </c>
      <c r="E8" s="75">
        <v>18.99</v>
      </c>
      <c r="F8" s="75"/>
      <c r="G8" s="76">
        <f>SUM(D8,E8,F8)</f>
        <v>36.98</v>
      </c>
      <c r="H8" s="77">
        <f>AVERAGE(D8,E8,F8)</f>
        <v>18.49</v>
      </c>
      <c r="I8" s="72"/>
      <c r="J8" s="78">
        <v>2.0</v>
      </c>
      <c r="K8" s="79"/>
      <c r="L8" s="80">
        <f>H8*J8</f>
        <v>36.98</v>
      </c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</row>
    <row r="9">
      <c r="A9" s="68">
        <f>A7+1</f>
        <v>4</v>
      </c>
      <c r="B9" s="69" t="s">
        <v>19</v>
      </c>
      <c r="C9" s="12"/>
      <c r="D9" s="70" t="s">
        <v>20</v>
      </c>
      <c r="E9" s="70" t="s">
        <v>21</v>
      </c>
      <c r="F9" s="70" t="s">
        <v>130</v>
      </c>
      <c r="G9" s="71"/>
      <c r="H9" s="71"/>
      <c r="I9" s="72"/>
      <c r="J9" s="81"/>
      <c r="K9" s="74"/>
      <c r="L9" s="82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</row>
    <row r="10">
      <c r="A10" s="18"/>
      <c r="B10" s="74"/>
      <c r="C10" s="20"/>
      <c r="D10" s="75">
        <v>27.99</v>
      </c>
      <c r="E10" s="75">
        <v>26.99</v>
      </c>
      <c r="F10" s="75"/>
      <c r="G10" s="76">
        <f>SUM(D10,E10,F10)</f>
        <v>54.98</v>
      </c>
      <c r="H10" s="77">
        <f>AVERAGE(D10,E10,F10)</f>
        <v>27.49</v>
      </c>
      <c r="I10" s="72"/>
      <c r="J10" s="78">
        <v>3.0</v>
      </c>
      <c r="K10" s="79"/>
      <c r="L10" s="80">
        <f>H10*J10</f>
        <v>82.47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</row>
    <row r="11">
      <c r="A11" s="68">
        <f>A9+1</f>
        <v>5</v>
      </c>
      <c r="B11" s="69" t="s">
        <v>23</v>
      </c>
      <c r="C11" s="12"/>
      <c r="D11" s="70" t="s">
        <v>24</v>
      </c>
      <c r="E11" s="70" t="s">
        <v>25</v>
      </c>
      <c r="F11" s="70" t="s">
        <v>26</v>
      </c>
      <c r="G11" s="71"/>
      <c r="H11" s="71"/>
      <c r="I11" s="72"/>
      <c r="J11" s="81"/>
      <c r="K11" s="74"/>
      <c r="L11" s="82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</row>
    <row r="12">
      <c r="A12" s="18"/>
      <c r="B12" s="74"/>
      <c r="C12" s="20"/>
      <c r="D12" s="75">
        <v>5.69</v>
      </c>
      <c r="E12" s="75"/>
      <c r="F12" s="75"/>
      <c r="G12" s="76">
        <f>SUM(D12,E12,F12)</f>
        <v>5.69</v>
      </c>
      <c r="H12" s="77">
        <f>AVERAGE(D12,E12,F12)</f>
        <v>5.69</v>
      </c>
      <c r="I12" s="72"/>
      <c r="J12" s="78">
        <v>3.0</v>
      </c>
      <c r="K12" s="79"/>
      <c r="L12" s="80">
        <f>H12*J12</f>
        <v>17.07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</row>
    <row r="13">
      <c r="A13" s="68">
        <f>A11+1</f>
        <v>6</v>
      </c>
      <c r="B13" s="69" t="s">
        <v>27</v>
      </c>
      <c r="C13" s="12"/>
      <c r="D13" s="70" t="s">
        <v>28</v>
      </c>
      <c r="E13" s="70" t="s">
        <v>133</v>
      </c>
      <c r="F13" s="70" t="s">
        <v>30</v>
      </c>
      <c r="G13" s="71"/>
      <c r="H13" s="71"/>
      <c r="I13" s="72"/>
      <c r="J13" s="81"/>
      <c r="K13" s="74"/>
      <c r="L13" s="82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</row>
    <row r="14">
      <c r="A14" s="18"/>
      <c r="B14" s="74"/>
      <c r="C14" s="20"/>
      <c r="D14" s="75"/>
      <c r="E14" s="75"/>
      <c r="F14" s="75">
        <v>9.99</v>
      </c>
      <c r="G14" s="76">
        <f>SUM(D14,E14,F14)</f>
        <v>9.99</v>
      </c>
      <c r="H14" s="77">
        <f>AVERAGE(D14,E14,F14)</f>
        <v>9.99</v>
      </c>
      <c r="I14" s="72"/>
      <c r="J14" s="78">
        <v>1.0</v>
      </c>
      <c r="K14" s="79"/>
      <c r="L14" s="80">
        <f>H14*J14</f>
        <v>9.99</v>
      </c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</row>
    <row r="15">
      <c r="A15" s="68">
        <f>A13+1</f>
        <v>7</v>
      </c>
      <c r="B15" s="69" t="s">
        <v>31</v>
      </c>
      <c r="C15" s="12"/>
      <c r="D15" s="83" t="s">
        <v>32</v>
      </c>
      <c r="E15" s="70" t="s">
        <v>33</v>
      </c>
      <c r="F15" s="70" t="s">
        <v>33</v>
      </c>
      <c r="G15" s="71"/>
      <c r="H15" s="71"/>
      <c r="I15" s="72"/>
      <c r="J15" s="81"/>
      <c r="K15" s="74"/>
      <c r="L15" s="82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</row>
    <row r="16">
      <c r="A16" s="18"/>
      <c r="B16" s="74"/>
      <c r="C16" s="20"/>
      <c r="D16" s="75">
        <v>4.99</v>
      </c>
      <c r="E16" s="84"/>
      <c r="F16" s="84"/>
      <c r="G16" s="76">
        <f>SUM(D16,E16,F16)</f>
        <v>4.99</v>
      </c>
      <c r="H16" s="77">
        <f>AVERAGE(D16,E16,F16)</f>
        <v>4.99</v>
      </c>
      <c r="I16" s="72"/>
      <c r="J16" s="78">
        <v>4.0</v>
      </c>
      <c r="K16" s="79"/>
      <c r="L16" s="80">
        <f>H16*J16</f>
        <v>19.96</v>
      </c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</row>
    <row r="17">
      <c r="A17" s="68">
        <f>A15+1</f>
        <v>8</v>
      </c>
      <c r="B17" s="69" t="s">
        <v>34</v>
      </c>
      <c r="C17" s="12"/>
      <c r="D17" s="70" t="s">
        <v>35</v>
      </c>
      <c r="E17" s="70" t="s">
        <v>33</v>
      </c>
      <c r="F17" s="70" t="s">
        <v>33</v>
      </c>
      <c r="G17" s="71"/>
      <c r="H17" s="71"/>
      <c r="I17" s="72"/>
      <c r="J17" s="81"/>
      <c r="K17" s="74"/>
      <c r="L17" s="82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</row>
    <row r="18">
      <c r="A18" s="18"/>
      <c r="B18" s="74"/>
      <c r="C18" s="20"/>
      <c r="D18" s="75">
        <v>6.99</v>
      </c>
      <c r="E18" s="84"/>
      <c r="F18" s="84"/>
      <c r="G18" s="76">
        <f>SUM(D18,E18,F18)</f>
        <v>6.99</v>
      </c>
      <c r="H18" s="77">
        <f>AVERAGE(D18,E18,F18)</f>
        <v>6.99</v>
      </c>
      <c r="I18" s="72"/>
      <c r="J18" s="78">
        <v>1.0</v>
      </c>
      <c r="K18" s="79"/>
      <c r="L18" s="80">
        <f>H18*J18</f>
        <v>6.99</v>
      </c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</row>
    <row r="19">
      <c r="A19" s="68">
        <f>A17+1</f>
        <v>9</v>
      </c>
      <c r="B19" s="69" t="s">
        <v>36</v>
      </c>
      <c r="C19" s="12"/>
      <c r="D19" s="70" t="s">
        <v>37</v>
      </c>
      <c r="E19" s="70" t="s">
        <v>33</v>
      </c>
      <c r="F19" s="70" t="s">
        <v>33</v>
      </c>
      <c r="G19" s="71"/>
      <c r="H19" s="71"/>
      <c r="I19" s="72"/>
      <c r="J19" s="81"/>
      <c r="K19" s="74"/>
      <c r="L19" s="82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</row>
    <row r="20">
      <c r="A20" s="18"/>
      <c r="B20" s="74"/>
      <c r="C20" s="20"/>
      <c r="D20" s="75">
        <v>7.8</v>
      </c>
      <c r="E20" s="84"/>
      <c r="F20" s="84"/>
      <c r="G20" s="76">
        <f>SUM(D20,E20,F20)</f>
        <v>7.8</v>
      </c>
      <c r="H20" s="77">
        <f>AVERAGE(D20,E20,F20)</f>
        <v>7.8</v>
      </c>
      <c r="I20" s="72"/>
      <c r="J20" s="78">
        <v>9.0</v>
      </c>
      <c r="K20" s="79"/>
      <c r="L20" s="80">
        <f>H20*J20</f>
        <v>70.2</v>
      </c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</row>
    <row r="21">
      <c r="A21" s="68">
        <f>A19+1</f>
        <v>10</v>
      </c>
      <c r="B21" s="69" t="s">
        <v>38</v>
      </c>
      <c r="C21" s="12"/>
      <c r="D21" s="70" t="s">
        <v>39</v>
      </c>
      <c r="E21" s="70" t="s">
        <v>33</v>
      </c>
      <c r="F21" s="70" t="s">
        <v>33</v>
      </c>
      <c r="G21" s="71"/>
      <c r="H21" s="71"/>
      <c r="I21" s="72"/>
      <c r="J21" s="81"/>
      <c r="K21" s="74"/>
      <c r="L21" s="82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</row>
    <row r="22">
      <c r="A22" s="18"/>
      <c r="B22" s="74"/>
      <c r="C22" s="20"/>
      <c r="D22" s="75">
        <v>32.9</v>
      </c>
      <c r="E22" s="84"/>
      <c r="F22" s="84"/>
      <c r="G22" s="76">
        <f>SUM(D22,E22,F22)</f>
        <v>32.9</v>
      </c>
      <c r="H22" s="77">
        <f>AVERAGE(D22,E22,F22)</f>
        <v>32.9</v>
      </c>
      <c r="I22" s="72"/>
      <c r="J22" s="78">
        <v>0.2</v>
      </c>
      <c r="K22" s="79"/>
      <c r="L22" s="80">
        <f>H22*J22</f>
        <v>6.58</v>
      </c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</row>
    <row r="23">
      <c r="A23" s="68">
        <f>A21+1</f>
        <v>11</v>
      </c>
      <c r="B23" s="69" t="s">
        <v>40</v>
      </c>
      <c r="C23" s="12"/>
      <c r="D23" s="70" t="s">
        <v>41</v>
      </c>
      <c r="E23" s="70" t="s">
        <v>42</v>
      </c>
      <c r="F23" s="70" t="s">
        <v>33</v>
      </c>
      <c r="G23" s="71"/>
      <c r="H23" s="71"/>
      <c r="I23" s="72"/>
      <c r="J23" s="81"/>
      <c r="K23" s="74"/>
      <c r="L23" s="82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</row>
    <row r="24">
      <c r="A24" s="18"/>
      <c r="B24" s="74"/>
      <c r="C24" s="20"/>
      <c r="D24" s="75">
        <v>9.9</v>
      </c>
      <c r="E24" s="75"/>
      <c r="F24" s="84"/>
      <c r="G24" s="76">
        <f>SUM(D24,E24,F24)</f>
        <v>9.9</v>
      </c>
      <c r="H24" s="77">
        <f>AVERAGE(D24,E24,F24)</f>
        <v>9.9</v>
      </c>
      <c r="I24" s="72"/>
      <c r="J24" s="78">
        <v>3.0</v>
      </c>
      <c r="K24" s="79"/>
      <c r="L24" s="80">
        <f>H24*J24</f>
        <v>29.7</v>
      </c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</row>
    <row r="25">
      <c r="A25" s="68">
        <f>A23+1</f>
        <v>12</v>
      </c>
      <c r="B25" s="69" t="s">
        <v>43</v>
      </c>
      <c r="C25" s="12"/>
      <c r="D25" s="70" t="s">
        <v>44</v>
      </c>
      <c r="E25" s="83" t="s">
        <v>45</v>
      </c>
      <c r="F25" s="70" t="s">
        <v>46</v>
      </c>
      <c r="G25" s="71"/>
      <c r="H25" s="71"/>
      <c r="I25" s="72"/>
      <c r="J25" s="81"/>
      <c r="K25" s="74"/>
      <c r="L25" s="82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</row>
    <row r="26">
      <c r="A26" s="18"/>
      <c r="B26" s="74"/>
      <c r="C26" s="20"/>
      <c r="D26" s="75">
        <v>4.5</v>
      </c>
      <c r="E26" s="75">
        <v>5.15</v>
      </c>
      <c r="F26" s="75"/>
      <c r="G26" s="76">
        <f>SUM(D26,E26,F26)</f>
        <v>9.65</v>
      </c>
      <c r="H26" s="77">
        <f>AVERAGE(D26,E26,F26)</f>
        <v>4.825</v>
      </c>
      <c r="I26" s="72"/>
      <c r="J26" s="78">
        <v>4.0</v>
      </c>
      <c r="K26" s="79"/>
      <c r="L26" s="80">
        <f>H26*J26</f>
        <v>19.3</v>
      </c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</row>
    <row r="27">
      <c r="A27" s="68">
        <f>A25+1</f>
        <v>13</v>
      </c>
      <c r="B27" s="69" t="s">
        <v>47</v>
      </c>
      <c r="C27" s="12"/>
      <c r="D27" s="70" t="s">
        <v>48</v>
      </c>
      <c r="E27" s="70" t="s">
        <v>90</v>
      </c>
      <c r="F27" s="70" t="s">
        <v>50</v>
      </c>
      <c r="G27" s="71"/>
      <c r="H27" s="71"/>
      <c r="I27" s="72"/>
      <c r="J27" s="81"/>
      <c r="K27" s="74"/>
      <c r="L27" s="82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</row>
    <row r="28">
      <c r="A28" s="18"/>
      <c r="B28" s="74"/>
      <c r="C28" s="20"/>
      <c r="D28" s="75"/>
      <c r="E28" s="75">
        <v>1.89</v>
      </c>
      <c r="F28" s="75"/>
      <c r="G28" s="76">
        <f>SUM(D28,E28,F28)</f>
        <v>1.89</v>
      </c>
      <c r="H28" s="77">
        <f>AVERAGE(D28,E28,F28)</f>
        <v>1.89</v>
      </c>
      <c r="I28" s="72"/>
      <c r="J28" s="78">
        <v>2.0</v>
      </c>
      <c r="K28" s="79"/>
      <c r="L28" s="80">
        <f>H28*J28</f>
        <v>3.78</v>
      </c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</row>
    <row r="29">
      <c r="A29" s="68">
        <f>A27+1</f>
        <v>14</v>
      </c>
      <c r="B29" s="69" t="s">
        <v>51</v>
      </c>
      <c r="C29" s="12"/>
      <c r="D29" s="70" t="s">
        <v>52</v>
      </c>
      <c r="E29" s="70" t="s">
        <v>33</v>
      </c>
      <c r="F29" s="70" t="s">
        <v>33</v>
      </c>
      <c r="G29" s="71"/>
      <c r="H29" s="71"/>
      <c r="I29" s="72"/>
      <c r="J29" s="81"/>
      <c r="K29" s="74"/>
      <c r="L29" s="82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</row>
    <row r="30">
      <c r="A30" s="18"/>
      <c r="B30" s="74"/>
      <c r="C30" s="20"/>
      <c r="D30" s="75">
        <v>13.9</v>
      </c>
      <c r="E30" s="84"/>
      <c r="F30" s="84"/>
      <c r="G30" s="76">
        <f>SUM(D30,E30,F30)</f>
        <v>13.9</v>
      </c>
      <c r="H30" s="77">
        <f>AVERAGE(D30,E30,F30)</f>
        <v>13.9</v>
      </c>
      <c r="I30" s="72"/>
      <c r="J30" s="78">
        <v>6.0</v>
      </c>
      <c r="K30" s="79"/>
      <c r="L30" s="80">
        <f>H30*J30</f>
        <v>83.4</v>
      </c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</row>
    <row r="31">
      <c r="A31" s="68">
        <f>A29+1</f>
        <v>15</v>
      </c>
      <c r="B31" s="69" t="s">
        <v>53</v>
      </c>
      <c r="C31" s="12"/>
      <c r="D31" s="70" t="s">
        <v>54</v>
      </c>
      <c r="E31" s="70" t="s">
        <v>55</v>
      </c>
      <c r="F31" s="70" t="s">
        <v>33</v>
      </c>
      <c r="G31" s="71"/>
      <c r="H31" s="71"/>
      <c r="I31" s="72"/>
      <c r="J31" s="81"/>
      <c r="K31" s="74"/>
      <c r="L31" s="82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</row>
    <row r="32">
      <c r="A32" s="18"/>
      <c r="B32" s="74"/>
      <c r="C32" s="20"/>
      <c r="D32" s="75">
        <v>4.99</v>
      </c>
      <c r="E32" s="75"/>
      <c r="F32" s="84"/>
      <c r="G32" s="76">
        <f>SUM(D32,E32,F32)</f>
        <v>4.99</v>
      </c>
      <c r="H32" s="77">
        <f>AVERAGE(D32,E32,F32)</f>
        <v>4.99</v>
      </c>
      <c r="I32" s="72"/>
      <c r="J32" s="78">
        <v>7.5</v>
      </c>
      <c r="K32" s="79"/>
      <c r="L32" s="80">
        <f>H32*J32</f>
        <v>37.425</v>
      </c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</row>
    <row r="33">
      <c r="A33" s="68">
        <f>A31+1</f>
        <v>16</v>
      </c>
      <c r="B33" s="69" t="s">
        <v>56</v>
      </c>
      <c r="C33" s="12"/>
      <c r="D33" s="70" t="s">
        <v>57</v>
      </c>
      <c r="E33" s="70" t="s">
        <v>134</v>
      </c>
      <c r="F33" s="70" t="s">
        <v>59</v>
      </c>
      <c r="G33" s="71"/>
      <c r="H33" s="71"/>
      <c r="I33" s="72"/>
      <c r="J33" s="81"/>
      <c r="K33" s="74"/>
      <c r="L33" s="82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</row>
    <row r="34">
      <c r="A34" s="18"/>
      <c r="B34" s="74"/>
      <c r="C34" s="20"/>
      <c r="D34" s="75">
        <v>9.0</v>
      </c>
      <c r="E34" s="75">
        <v>8.89</v>
      </c>
      <c r="F34" s="75"/>
      <c r="G34" s="76">
        <f>SUM(D34,E34,F34)</f>
        <v>17.89</v>
      </c>
      <c r="H34" s="77">
        <f>AVERAGE(D34,E34,F34)</f>
        <v>8.945</v>
      </c>
      <c r="I34" s="72"/>
      <c r="J34" s="78">
        <v>5.0</v>
      </c>
      <c r="K34" s="79"/>
      <c r="L34" s="80">
        <f>H34*J34</f>
        <v>44.725</v>
      </c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</row>
    <row r="35">
      <c r="A35" s="68">
        <f>A33+1</f>
        <v>17</v>
      </c>
      <c r="B35" s="69" t="s">
        <v>60</v>
      </c>
      <c r="C35" s="12"/>
      <c r="D35" s="83" t="s">
        <v>61</v>
      </c>
      <c r="E35" s="70" t="s">
        <v>62</v>
      </c>
      <c r="F35" s="70" t="s">
        <v>63</v>
      </c>
      <c r="G35" s="71"/>
      <c r="H35" s="71"/>
      <c r="I35" s="72"/>
      <c r="J35" s="81"/>
      <c r="K35" s="74"/>
      <c r="L35" s="82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</row>
    <row r="36">
      <c r="A36" s="18"/>
      <c r="B36" s="74"/>
      <c r="C36" s="20"/>
      <c r="D36" s="75">
        <v>5.0</v>
      </c>
      <c r="E36" s="75">
        <v>5.3</v>
      </c>
      <c r="F36" s="75"/>
      <c r="G36" s="76">
        <f>SUM(D36,E36,F36)</f>
        <v>10.3</v>
      </c>
      <c r="H36" s="77">
        <f>AVERAGE(D36,E36,F36)</f>
        <v>5.15</v>
      </c>
      <c r="I36" s="72"/>
      <c r="J36" s="78">
        <v>7.5</v>
      </c>
      <c r="K36" s="79"/>
      <c r="L36" s="80">
        <f>H36*J36</f>
        <v>38.625</v>
      </c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</row>
    <row r="37">
      <c r="A37" s="68">
        <f>A35+1</f>
        <v>18</v>
      </c>
      <c r="B37" s="69" t="s">
        <v>64</v>
      </c>
      <c r="C37" s="12"/>
      <c r="D37" s="70" t="s">
        <v>61</v>
      </c>
      <c r="E37" s="70" t="s">
        <v>135</v>
      </c>
      <c r="F37" s="70" t="s">
        <v>63</v>
      </c>
      <c r="G37" s="71"/>
      <c r="H37" s="71"/>
      <c r="I37" s="72"/>
      <c r="J37" s="81"/>
      <c r="K37" s="74"/>
      <c r="L37" s="82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</row>
    <row r="38">
      <c r="A38" s="18"/>
      <c r="B38" s="74"/>
      <c r="C38" s="20"/>
      <c r="D38" s="75">
        <v>17.0</v>
      </c>
      <c r="E38" s="75">
        <v>16.89</v>
      </c>
      <c r="F38" s="75"/>
      <c r="G38" s="76">
        <f>SUM(D38,E38,F38)</f>
        <v>33.89</v>
      </c>
      <c r="H38" s="77">
        <f>AVERAGE(D38,E38,F38)</f>
        <v>16.945</v>
      </c>
      <c r="I38" s="72"/>
      <c r="J38" s="78">
        <v>3.0</v>
      </c>
      <c r="K38" s="79"/>
      <c r="L38" s="80">
        <f>H38*J38</f>
        <v>50.835</v>
      </c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</row>
    <row r="39">
      <c r="A39" s="68">
        <f>A37+1</f>
        <v>19</v>
      </c>
      <c r="B39" s="69" t="s">
        <v>66</v>
      </c>
      <c r="C39" s="12"/>
      <c r="D39" s="70" t="s">
        <v>48</v>
      </c>
      <c r="E39" s="83" t="s">
        <v>136</v>
      </c>
      <c r="F39" s="70" t="s">
        <v>26</v>
      </c>
      <c r="G39" s="71"/>
      <c r="H39" s="71"/>
      <c r="I39" s="72"/>
      <c r="J39" s="81"/>
      <c r="K39" s="74"/>
      <c r="L39" s="82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</row>
    <row r="40">
      <c r="A40" s="18"/>
      <c r="B40" s="74"/>
      <c r="C40" s="20"/>
      <c r="D40" s="75">
        <v>4.89</v>
      </c>
      <c r="E40" s="75">
        <v>4.99</v>
      </c>
      <c r="F40" s="75"/>
      <c r="G40" s="76">
        <f>SUM(D40,E40,F40)</f>
        <v>9.88</v>
      </c>
      <c r="H40" s="77">
        <f>AVERAGE(D40,E40,F40)</f>
        <v>4.94</v>
      </c>
      <c r="I40" s="72"/>
      <c r="J40" s="78">
        <v>4.0</v>
      </c>
      <c r="K40" s="79"/>
      <c r="L40" s="80">
        <f>H40*J40</f>
        <v>19.76</v>
      </c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</row>
    <row r="41">
      <c r="A41" s="68">
        <f>A39+1</f>
        <v>20</v>
      </c>
      <c r="B41" s="69" t="s">
        <v>68</v>
      </c>
      <c r="C41" s="12"/>
      <c r="D41" s="83" t="s">
        <v>137</v>
      </c>
      <c r="E41" s="70" t="s">
        <v>70</v>
      </c>
      <c r="F41" s="70" t="s">
        <v>71</v>
      </c>
      <c r="G41" s="71"/>
      <c r="H41" s="71"/>
      <c r="I41" s="72"/>
      <c r="J41" s="81"/>
      <c r="K41" s="74"/>
      <c r="L41" s="82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</row>
    <row r="42">
      <c r="A42" s="18"/>
      <c r="B42" s="74"/>
      <c r="C42" s="20"/>
      <c r="D42" s="75"/>
      <c r="E42" s="75"/>
      <c r="F42" s="75">
        <v>3.69</v>
      </c>
      <c r="G42" s="76">
        <f>SUM(D42,E42,F42)</f>
        <v>3.69</v>
      </c>
      <c r="H42" s="77">
        <f>AVERAGE(D42,E42,F42)</f>
        <v>3.69</v>
      </c>
      <c r="I42" s="72"/>
      <c r="J42" s="78">
        <v>4.0</v>
      </c>
      <c r="K42" s="79"/>
      <c r="L42" s="80">
        <f>H42*J42</f>
        <v>14.76</v>
      </c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</row>
    <row r="43">
      <c r="A43" s="68">
        <f>A41+1</f>
        <v>21</v>
      </c>
      <c r="B43" s="69" t="s">
        <v>72</v>
      </c>
      <c r="C43" s="12"/>
      <c r="D43" s="70" t="s">
        <v>73</v>
      </c>
      <c r="E43" s="70" t="s">
        <v>74</v>
      </c>
      <c r="F43" s="70" t="s">
        <v>138</v>
      </c>
      <c r="G43" s="71"/>
      <c r="H43" s="71"/>
      <c r="I43" s="72"/>
      <c r="J43" s="81"/>
      <c r="K43" s="74"/>
      <c r="L43" s="82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</row>
    <row r="44">
      <c r="A44" s="18"/>
      <c r="B44" s="74"/>
      <c r="C44" s="20"/>
      <c r="D44" s="75">
        <v>44.99</v>
      </c>
      <c r="E44" s="75"/>
      <c r="F44" s="75"/>
      <c r="G44" s="76">
        <f>SUM(D44,E44,F44)</f>
        <v>44.99</v>
      </c>
      <c r="H44" s="77">
        <f>AVERAGE(D44,E44,F44)</f>
        <v>44.99</v>
      </c>
      <c r="I44" s="72"/>
      <c r="J44" s="78">
        <v>3.0</v>
      </c>
      <c r="K44" s="79"/>
      <c r="L44" s="80">
        <f>H44*J44</f>
        <v>134.97</v>
      </c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</row>
    <row r="45">
      <c r="A45" s="68">
        <f>A43+1</f>
        <v>22</v>
      </c>
      <c r="B45" s="69" t="s">
        <v>76</v>
      </c>
      <c r="C45" s="12"/>
      <c r="D45" s="70" t="s">
        <v>77</v>
      </c>
      <c r="E45" s="70" t="s">
        <v>78</v>
      </c>
      <c r="F45" s="70" t="s">
        <v>139</v>
      </c>
      <c r="G45" s="71"/>
      <c r="H45" s="71"/>
      <c r="I45" s="72"/>
      <c r="J45" s="81"/>
      <c r="K45" s="74"/>
      <c r="L45" s="82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</row>
    <row r="46">
      <c r="A46" s="18"/>
      <c r="B46" s="74"/>
      <c r="C46" s="20"/>
      <c r="D46" s="75">
        <v>38.0</v>
      </c>
      <c r="E46" s="75">
        <v>22.0</v>
      </c>
      <c r="F46" s="75"/>
      <c r="G46" s="76">
        <f>SUM(D46,E46,F46)</f>
        <v>60</v>
      </c>
      <c r="H46" s="77">
        <f>AVERAGE(D46,E46,F46)</f>
        <v>30</v>
      </c>
      <c r="I46" s="72"/>
      <c r="J46" s="78">
        <v>4.0</v>
      </c>
      <c r="K46" s="79"/>
      <c r="L46" s="80">
        <f>H46*J46</f>
        <v>120</v>
      </c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</row>
    <row r="47">
      <c r="A47" s="68">
        <f>A45+1</f>
        <v>23</v>
      </c>
      <c r="B47" s="69" t="s">
        <v>80</v>
      </c>
      <c r="C47" s="12"/>
      <c r="D47" s="70" t="s">
        <v>84</v>
      </c>
      <c r="E47" s="70" t="s">
        <v>82</v>
      </c>
      <c r="F47" s="70" t="s">
        <v>33</v>
      </c>
      <c r="G47" s="71"/>
      <c r="H47" s="71"/>
      <c r="I47" s="72"/>
      <c r="J47" s="81"/>
      <c r="K47" s="74"/>
      <c r="L47" s="82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</row>
    <row r="48">
      <c r="A48" s="18"/>
      <c r="B48" s="74"/>
      <c r="C48" s="20"/>
      <c r="D48" s="75"/>
      <c r="E48" s="75">
        <v>10.5</v>
      </c>
      <c r="F48" s="84"/>
      <c r="G48" s="76">
        <f>SUM(D48,E48,F48)</f>
        <v>10.5</v>
      </c>
      <c r="H48" s="77">
        <f>AVERAGE(D48,E48,F48)</f>
        <v>10.5</v>
      </c>
      <c r="I48" s="72"/>
      <c r="J48" s="78">
        <v>5.0</v>
      </c>
      <c r="K48" s="79"/>
      <c r="L48" s="80">
        <f>H48*J48</f>
        <v>52.5</v>
      </c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</row>
    <row r="49">
      <c r="A49" s="68">
        <f>A47+1</f>
        <v>24</v>
      </c>
      <c r="B49" s="69" t="s">
        <v>83</v>
      </c>
      <c r="C49" s="12"/>
      <c r="D49" s="70" t="s">
        <v>84</v>
      </c>
      <c r="E49" s="70" t="s">
        <v>82</v>
      </c>
      <c r="F49" s="70" t="s">
        <v>85</v>
      </c>
      <c r="G49" s="71"/>
      <c r="H49" s="71"/>
      <c r="I49" s="72"/>
      <c r="J49" s="81"/>
      <c r="K49" s="74"/>
      <c r="L49" s="82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</row>
    <row r="50">
      <c r="A50" s="18"/>
      <c r="B50" s="74"/>
      <c r="C50" s="20"/>
      <c r="D50" s="75">
        <v>9.99</v>
      </c>
      <c r="E50" s="75"/>
      <c r="F50" s="75"/>
      <c r="G50" s="76">
        <f>SUM(D50,E50,F50)</f>
        <v>9.99</v>
      </c>
      <c r="H50" s="77">
        <f>AVERAGE(D50,E50,F50)</f>
        <v>9.99</v>
      </c>
      <c r="I50" s="72"/>
      <c r="J50" s="78">
        <v>0.5</v>
      </c>
      <c r="K50" s="79"/>
      <c r="L50" s="80">
        <f>H50*J50</f>
        <v>4.995</v>
      </c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</row>
    <row r="51">
      <c r="A51" s="68">
        <f>A49+1</f>
        <v>25</v>
      </c>
      <c r="B51" s="69" t="s">
        <v>86</v>
      </c>
      <c r="C51" s="12"/>
      <c r="D51" s="70" t="s">
        <v>84</v>
      </c>
      <c r="E51" s="70" t="s">
        <v>82</v>
      </c>
      <c r="F51" s="83" t="s">
        <v>141</v>
      </c>
      <c r="G51" s="71"/>
      <c r="H51" s="71"/>
      <c r="I51" s="72"/>
      <c r="J51" s="81"/>
      <c r="K51" s="74"/>
      <c r="L51" s="82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</row>
    <row r="52">
      <c r="A52" s="18"/>
      <c r="B52" s="74"/>
      <c r="C52" s="20"/>
      <c r="D52" s="75">
        <v>14.6</v>
      </c>
      <c r="E52" s="75">
        <v>16.99</v>
      </c>
      <c r="F52" s="75"/>
      <c r="G52" s="76">
        <f>SUM(D52,E52,F52)</f>
        <v>31.59</v>
      </c>
      <c r="H52" s="77">
        <f>AVERAGE(D52,E52,F52)</f>
        <v>15.795</v>
      </c>
      <c r="I52" s="72"/>
      <c r="J52" s="78">
        <v>0.3</v>
      </c>
      <c r="K52" s="79"/>
      <c r="L52" s="80">
        <f>H52*J52</f>
        <v>4.7385</v>
      </c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</row>
    <row r="53">
      <c r="A53" s="68">
        <f>A51+1</f>
        <v>26</v>
      </c>
      <c r="B53" s="69" t="s">
        <v>88</v>
      </c>
      <c r="C53" s="12"/>
      <c r="D53" s="70" t="s">
        <v>170</v>
      </c>
      <c r="E53" s="83" t="s">
        <v>90</v>
      </c>
      <c r="F53" s="70" t="s">
        <v>143</v>
      </c>
      <c r="G53" s="71"/>
      <c r="H53" s="71"/>
      <c r="I53" s="72"/>
      <c r="J53" s="81"/>
      <c r="K53" s="74"/>
      <c r="L53" s="82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</row>
    <row r="54">
      <c r="A54" s="18"/>
      <c r="B54" s="74"/>
      <c r="C54" s="20"/>
      <c r="D54" s="75">
        <v>52.0</v>
      </c>
      <c r="E54" s="75">
        <v>51.99</v>
      </c>
      <c r="F54" s="75"/>
      <c r="G54" s="76">
        <f>SUM(D54,E54,F54)</f>
        <v>103.99</v>
      </c>
      <c r="H54" s="77">
        <f>AVERAGE(D54,E54,F54)</f>
        <v>51.995</v>
      </c>
      <c r="I54" s="85"/>
      <c r="J54" s="78">
        <v>0.5</v>
      </c>
      <c r="K54" s="85"/>
      <c r="L54" s="80">
        <f>H54*J54</f>
        <v>25.9975</v>
      </c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</row>
    <row r="55">
      <c r="A55" s="105" t="s">
        <v>106</v>
      </c>
      <c r="B55" s="74"/>
      <c r="C55" s="74"/>
      <c r="D55" s="74"/>
      <c r="E55" s="74"/>
      <c r="F55" s="74"/>
      <c r="G55" s="82"/>
      <c r="H55" s="87">
        <f>SUM(H4:H54)</f>
        <v>391.175</v>
      </c>
      <c r="I55" s="85"/>
      <c r="J55" s="88" t="s">
        <v>6</v>
      </c>
      <c r="K55" s="20"/>
      <c r="L55" s="89">
        <f>SUM(L4:L54)</f>
        <v>1057.066</v>
      </c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</row>
    <row r="56">
      <c r="A56" s="90" t="s">
        <v>144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</row>
    <row r="57">
      <c r="A57" s="68">
        <f>A53+1</f>
        <v>27</v>
      </c>
      <c r="B57" s="69" t="s">
        <v>145</v>
      </c>
      <c r="C57" s="12"/>
      <c r="D57" s="70" t="s">
        <v>94</v>
      </c>
      <c r="E57" s="70" t="s">
        <v>95</v>
      </c>
      <c r="F57" s="70" t="s">
        <v>96</v>
      </c>
      <c r="G57" s="71"/>
      <c r="H57" s="71"/>
      <c r="I57" s="72"/>
      <c r="J57" s="81"/>
      <c r="K57" s="74"/>
      <c r="L57" s="82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</row>
    <row r="58">
      <c r="A58" s="18"/>
      <c r="B58" s="74"/>
      <c r="C58" s="20"/>
      <c r="D58" s="75">
        <v>9.99</v>
      </c>
      <c r="E58" s="75">
        <v>8.9</v>
      </c>
      <c r="F58" s="75"/>
      <c r="G58" s="76">
        <f>SUM(D58,E58,F58)</f>
        <v>18.89</v>
      </c>
      <c r="H58" s="77">
        <f>AVERAGE(D58,E58,F58)</f>
        <v>9.445</v>
      </c>
      <c r="I58" s="72"/>
      <c r="J58" s="78">
        <v>4.0</v>
      </c>
      <c r="K58" s="79"/>
      <c r="L58" s="80">
        <f>H58*J58</f>
        <v>37.78</v>
      </c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</row>
    <row r="59">
      <c r="A59" s="68">
        <f>A57+1</f>
        <v>28</v>
      </c>
      <c r="B59" s="69" t="s">
        <v>97</v>
      </c>
      <c r="C59" s="12"/>
      <c r="D59" s="70" t="s">
        <v>99</v>
      </c>
      <c r="E59" s="70" t="s">
        <v>104</v>
      </c>
      <c r="F59" s="70" t="s">
        <v>33</v>
      </c>
      <c r="G59" s="71"/>
      <c r="H59" s="71"/>
      <c r="I59" s="72"/>
      <c r="J59" s="81"/>
      <c r="K59" s="74"/>
      <c r="L59" s="82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</row>
    <row r="60">
      <c r="A60" s="18"/>
      <c r="B60" s="74"/>
      <c r="C60" s="20"/>
      <c r="D60" s="75">
        <v>2.5</v>
      </c>
      <c r="E60" s="75"/>
      <c r="F60" s="84"/>
      <c r="G60" s="76">
        <f>SUM(D60,E60,F60)</f>
        <v>2.5</v>
      </c>
      <c r="H60" s="77">
        <f>AVERAGE(D60,E60,F60)</f>
        <v>2.5</v>
      </c>
      <c r="I60" s="72"/>
      <c r="J60" s="78">
        <v>15.0</v>
      </c>
      <c r="K60" s="79"/>
      <c r="L60" s="80">
        <f>H60*J60</f>
        <v>37.5</v>
      </c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</row>
    <row r="61">
      <c r="A61" s="68">
        <f>A59+1</f>
        <v>29</v>
      </c>
      <c r="B61" s="69" t="s">
        <v>100</v>
      </c>
      <c r="C61" s="12"/>
      <c r="D61" s="70" t="s">
        <v>171</v>
      </c>
      <c r="E61" s="70" t="s">
        <v>147</v>
      </c>
      <c r="F61" s="70" t="s">
        <v>148</v>
      </c>
      <c r="G61" s="71"/>
      <c r="H61" s="71"/>
      <c r="I61" s="72"/>
      <c r="J61" s="81"/>
      <c r="K61" s="74"/>
      <c r="L61" s="82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</row>
    <row r="62">
      <c r="A62" s="18"/>
      <c r="B62" s="74"/>
      <c r="C62" s="20"/>
      <c r="D62" s="75">
        <v>4.99</v>
      </c>
      <c r="E62" s="75">
        <v>3.99</v>
      </c>
      <c r="F62" s="75"/>
      <c r="G62" s="76">
        <f>SUM(D62,E62,F62)</f>
        <v>8.98</v>
      </c>
      <c r="H62" s="77">
        <f>AVERAGE(D62,E62,F62)</f>
        <v>4.49</v>
      </c>
      <c r="I62" s="72"/>
      <c r="J62" s="78">
        <v>2.0</v>
      </c>
      <c r="K62" s="79"/>
      <c r="L62" s="80">
        <f>H62*J62</f>
        <v>8.98</v>
      </c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</row>
    <row r="63">
      <c r="A63" s="68">
        <f>A61+1</f>
        <v>30</v>
      </c>
      <c r="B63" s="69" t="s">
        <v>103</v>
      </c>
      <c r="C63" s="12"/>
      <c r="D63" s="83" t="s">
        <v>99</v>
      </c>
      <c r="E63" s="70" t="s">
        <v>104</v>
      </c>
      <c r="F63" s="70" t="s">
        <v>105</v>
      </c>
      <c r="G63" s="71"/>
      <c r="H63" s="71"/>
      <c r="I63" s="72"/>
      <c r="J63" s="81"/>
      <c r="K63" s="74"/>
      <c r="L63" s="82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</row>
    <row r="64">
      <c r="A64" s="18"/>
      <c r="B64" s="74"/>
      <c r="C64" s="20"/>
      <c r="D64" s="75">
        <v>2.49</v>
      </c>
      <c r="E64" s="75"/>
      <c r="F64" s="75"/>
      <c r="G64" s="76">
        <f>SUM(D64,E64,F64)</f>
        <v>2.49</v>
      </c>
      <c r="H64" s="77">
        <f>AVERAGE(D64,E64,F64)</f>
        <v>2.49</v>
      </c>
      <c r="I64" s="85"/>
      <c r="J64" s="78">
        <v>2.0</v>
      </c>
      <c r="K64" s="79"/>
      <c r="L64" s="80">
        <f>H64*J64</f>
        <v>4.98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</row>
    <row r="65">
      <c r="A65" s="86" t="s">
        <v>106</v>
      </c>
      <c r="B65" s="74"/>
      <c r="C65" s="74"/>
      <c r="D65" s="74"/>
      <c r="E65" s="74"/>
      <c r="F65" s="74"/>
      <c r="G65" s="82"/>
      <c r="H65" s="87">
        <f>SUM(H57:H64)</f>
        <v>18.925</v>
      </c>
      <c r="I65" s="85"/>
      <c r="J65" s="88" t="s">
        <v>6</v>
      </c>
      <c r="K65" s="20"/>
      <c r="L65" s="89">
        <f>SUM(L57:L64)</f>
        <v>89.24</v>
      </c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</row>
    <row r="66">
      <c r="A66" s="90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</row>
    <row r="67">
      <c r="A67" s="68">
        <f>A63+1</f>
        <v>31</v>
      </c>
      <c r="B67" s="69" t="s">
        <v>108</v>
      </c>
      <c r="C67" s="12"/>
      <c r="D67" s="70" t="s">
        <v>109</v>
      </c>
      <c r="E67" s="70" t="s">
        <v>149</v>
      </c>
      <c r="F67" s="70" t="s">
        <v>150</v>
      </c>
      <c r="G67" s="71"/>
      <c r="H67" s="71"/>
      <c r="I67" s="72"/>
      <c r="J67" s="81"/>
      <c r="K67" s="74"/>
      <c r="L67" s="82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</row>
    <row r="68">
      <c r="A68" s="18"/>
      <c r="B68" s="74"/>
      <c r="C68" s="20"/>
      <c r="D68" s="75">
        <v>4.19</v>
      </c>
      <c r="E68" s="75"/>
      <c r="F68" s="75"/>
      <c r="G68" s="76">
        <f>SUM(D68,E68,F68)</f>
        <v>4.19</v>
      </c>
      <c r="H68" s="77">
        <f>AVERAGE(D68,E68,F68)</f>
        <v>4.19</v>
      </c>
      <c r="I68" s="72"/>
      <c r="J68" s="78">
        <v>3.0</v>
      </c>
      <c r="K68" s="79"/>
      <c r="L68" s="80">
        <f>H68*J68</f>
        <v>12.57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</row>
    <row r="69">
      <c r="A69" s="68">
        <f>A67+1</f>
        <v>32</v>
      </c>
      <c r="B69" s="69" t="s">
        <v>112</v>
      </c>
      <c r="C69" s="12"/>
      <c r="D69" s="70" t="s">
        <v>113</v>
      </c>
      <c r="E69" s="70" t="s">
        <v>114</v>
      </c>
      <c r="F69" s="70" t="s">
        <v>33</v>
      </c>
      <c r="G69" s="71"/>
      <c r="H69" s="71"/>
      <c r="I69" s="72"/>
      <c r="J69" s="81"/>
      <c r="K69" s="74"/>
      <c r="L69" s="82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</row>
    <row r="70">
      <c r="A70" s="18"/>
      <c r="B70" s="74"/>
      <c r="C70" s="20"/>
      <c r="D70" s="75">
        <v>4.49</v>
      </c>
      <c r="E70" s="75"/>
      <c r="F70" s="84"/>
      <c r="G70" s="76">
        <f>SUM(D70,E70,F70)</f>
        <v>4.49</v>
      </c>
      <c r="H70" s="77">
        <f>AVERAGE(D70,E70,F70)</f>
        <v>4.49</v>
      </c>
      <c r="I70" s="72"/>
      <c r="J70" s="78">
        <v>2.0</v>
      </c>
      <c r="K70" s="79"/>
      <c r="L70" s="80">
        <f>H70*J70</f>
        <v>8.98</v>
      </c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</row>
    <row r="71">
      <c r="A71" s="68">
        <f>A69+1</f>
        <v>33</v>
      </c>
      <c r="B71" s="69" t="s">
        <v>115</v>
      </c>
      <c r="C71" s="12"/>
      <c r="D71" s="70" t="s">
        <v>116</v>
      </c>
      <c r="E71" s="70" t="s">
        <v>117</v>
      </c>
      <c r="F71" s="70" t="s">
        <v>33</v>
      </c>
      <c r="G71" s="71"/>
      <c r="H71" s="71"/>
      <c r="I71" s="72"/>
      <c r="J71" s="81"/>
      <c r="K71" s="74"/>
      <c r="L71" s="82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</row>
    <row r="72">
      <c r="A72" s="18"/>
      <c r="B72" s="74"/>
      <c r="C72" s="20"/>
      <c r="D72" s="75">
        <v>2.85</v>
      </c>
      <c r="E72" s="75">
        <v>2.85</v>
      </c>
      <c r="F72" s="84"/>
      <c r="G72" s="76">
        <f>SUM(D72,E72,F72)</f>
        <v>5.7</v>
      </c>
      <c r="H72" s="77">
        <f>AVERAGE(D72,E72,F72)</f>
        <v>2.85</v>
      </c>
      <c r="I72" s="72"/>
      <c r="J72" s="78">
        <v>10.0</v>
      </c>
      <c r="K72" s="79"/>
      <c r="L72" s="80">
        <f>H72*J72</f>
        <v>28.5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</row>
    <row r="73">
      <c r="A73" s="68">
        <f>A71+1</f>
        <v>34</v>
      </c>
      <c r="B73" s="69" t="s">
        <v>119</v>
      </c>
      <c r="C73" s="12"/>
      <c r="D73" s="83" t="s">
        <v>120</v>
      </c>
      <c r="E73" s="83" t="s">
        <v>152</v>
      </c>
      <c r="F73" s="70" t="s">
        <v>33</v>
      </c>
      <c r="G73" s="71"/>
      <c r="H73" s="71"/>
      <c r="I73" s="72"/>
      <c r="J73" s="81"/>
      <c r="K73" s="74"/>
      <c r="L73" s="82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</row>
    <row r="74">
      <c r="A74" s="18"/>
      <c r="B74" s="74"/>
      <c r="C74" s="20"/>
      <c r="D74" s="75">
        <v>18.99</v>
      </c>
      <c r="E74" s="75"/>
      <c r="F74" s="84"/>
      <c r="G74" s="76">
        <f>SUM(D74,E74,F74)</f>
        <v>18.99</v>
      </c>
      <c r="H74" s="77">
        <f>AVERAGE(D74,E74,F74)</f>
        <v>18.99</v>
      </c>
      <c r="I74" s="72"/>
      <c r="J74" s="78">
        <v>2.0</v>
      </c>
      <c r="K74" s="79"/>
      <c r="L74" s="80">
        <f>H74*J74</f>
        <v>37.98</v>
      </c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</row>
    <row r="75">
      <c r="A75" s="68">
        <f>A73+1</f>
        <v>35</v>
      </c>
      <c r="B75" s="69" t="s">
        <v>122</v>
      </c>
      <c r="C75" s="12"/>
      <c r="D75" s="70" t="s">
        <v>123</v>
      </c>
      <c r="E75" s="70" t="s">
        <v>124</v>
      </c>
      <c r="F75" s="70" t="s">
        <v>33</v>
      </c>
      <c r="G75" s="71"/>
      <c r="H75" s="71"/>
      <c r="I75" s="72"/>
      <c r="J75" s="81"/>
      <c r="K75" s="74"/>
      <c r="L75" s="82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</row>
    <row r="76">
      <c r="A76" s="18"/>
      <c r="B76" s="74"/>
      <c r="C76" s="20"/>
      <c r="D76" s="75">
        <v>5.3</v>
      </c>
      <c r="E76" s="75">
        <v>5.89</v>
      </c>
      <c r="F76" s="84"/>
      <c r="G76" s="76">
        <f>SUM(D76,E76,F76)</f>
        <v>11.19</v>
      </c>
      <c r="H76" s="77">
        <f>AVERAGE(D76,E76,F76)</f>
        <v>5.595</v>
      </c>
      <c r="I76" s="85"/>
      <c r="J76" s="78">
        <v>1.0</v>
      </c>
      <c r="K76" s="79"/>
      <c r="L76" s="80">
        <f>H76*J76</f>
        <v>5.595</v>
      </c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</row>
    <row r="77">
      <c r="A77" s="86" t="s">
        <v>106</v>
      </c>
      <c r="B77" s="74"/>
      <c r="C77" s="74"/>
      <c r="D77" s="74"/>
      <c r="E77" s="74"/>
      <c r="F77" s="74"/>
      <c r="G77" s="82"/>
      <c r="H77" s="87">
        <f>SUM(H68:H76)</f>
        <v>36.115</v>
      </c>
      <c r="I77" s="85"/>
      <c r="J77" s="88" t="s">
        <v>6</v>
      </c>
      <c r="K77" s="20"/>
      <c r="L77" s="89">
        <f>SUM(L68:L76)</f>
        <v>93.625</v>
      </c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</row>
    <row r="78">
      <c r="A78" s="91"/>
      <c r="B78" s="63"/>
      <c r="C78" s="63"/>
      <c r="D78" s="63"/>
      <c r="E78" s="63"/>
      <c r="F78" s="63"/>
      <c r="G78" s="63"/>
      <c r="H78" s="92"/>
      <c r="I78" s="63"/>
      <c r="J78" s="63"/>
      <c r="K78" s="63"/>
      <c r="L78" s="9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</row>
    <row r="79">
      <c r="A79" s="91"/>
      <c r="B79" s="63"/>
      <c r="C79" s="63"/>
      <c r="D79" s="63"/>
      <c r="E79" s="63"/>
      <c r="F79" s="63"/>
      <c r="G79" s="94"/>
      <c r="H79" s="95"/>
      <c r="I79" s="63"/>
      <c r="J79" s="63"/>
      <c r="K79" s="94"/>
      <c r="L79" s="96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</row>
    <row r="80">
      <c r="A80" s="91"/>
      <c r="B80" s="63"/>
      <c r="C80" s="63"/>
      <c r="D80" s="63"/>
      <c r="E80" s="63"/>
      <c r="F80" s="72"/>
      <c r="G80" s="97" t="s">
        <v>6</v>
      </c>
      <c r="H80" s="87">
        <f>H55+H65+H77</f>
        <v>446.215</v>
      </c>
      <c r="I80" s="63"/>
      <c r="J80" s="72"/>
      <c r="K80" s="97" t="s">
        <v>6</v>
      </c>
      <c r="L80" s="89">
        <f>L55+L65+L77</f>
        <v>1239.931</v>
      </c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</row>
    <row r="81">
      <c r="A81" s="98"/>
      <c r="B81" s="99"/>
      <c r="C81" s="99"/>
      <c r="D81" s="99"/>
      <c r="E81" s="99"/>
      <c r="F81" s="99"/>
      <c r="G81" s="99"/>
      <c r="H81" s="100"/>
      <c r="I81" s="99"/>
      <c r="J81" s="99"/>
      <c r="K81" s="99"/>
      <c r="L81" s="101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</row>
    <row r="82">
      <c r="A82" s="63"/>
      <c r="B82" s="63"/>
      <c r="C82" s="63"/>
      <c r="D82" s="63"/>
      <c r="E82" s="63"/>
      <c r="F82" s="63"/>
      <c r="G82" s="63"/>
      <c r="H82" s="92"/>
      <c r="I82" s="63"/>
      <c r="J82" s="63"/>
      <c r="K82" s="63"/>
      <c r="L82" s="92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</row>
    <row r="83">
      <c r="A83" s="63"/>
      <c r="B83" s="63"/>
      <c r="C83" s="63"/>
      <c r="D83" s="63"/>
      <c r="E83" s="63"/>
      <c r="F83" s="63"/>
      <c r="G83" s="63"/>
      <c r="H83" s="92"/>
      <c r="I83" s="63"/>
      <c r="J83" s="63"/>
      <c r="K83" s="63"/>
      <c r="L83" s="92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172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164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34.58</v>
      </c>
      <c r="E4" s="21">
        <v>31.0</v>
      </c>
      <c r="F4" s="21"/>
      <c r="G4" s="22">
        <f>SUM(D4,E4,F4)</f>
        <v>65.58</v>
      </c>
      <c r="H4" s="23">
        <f>AVERAGE(D4,E4,F4)</f>
        <v>32.79</v>
      </c>
      <c r="I4" s="16"/>
      <c r="J4" s="24">
        <v>3.0</v>
      </c>
      <c r="K4" s="25" t="s">
        <v>11</v>
      </c>
      <c r="L4" s="26">
        <f>H4*J4</f>
        <v>98.37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3" t="s">
        <v>173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5.98</v>
      </c>
      <c r="E6" s="21"/>
      <c r="F6" s="21">
        <v>5.38</v>
      </c>
      <c r="G6" s="22">
        <f>SUM(D6,E6,F6)</f>
        <v>11.36</v>
      </c>
      <c r="H6" s="23">
        <f>AVERAGE(D6,E6,F6)</f>
        <v>5.68</v>
      </c>
      <c r="I6" s="16"/>
      <c r="J6" s="24">
        <v>4.0</v>
      </c>
      <c r="K6" s="25"/>
      <c r="L6" s="26">
        <f>H6*J6</f>
        <v>22.72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129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20.48</v>
      </c>
      <c r="E8" s="21"/>
      <c r="F8" s="21"/>
      <c r="G8" s="22">
        <f>SUM(D8,E8,F8)</f>
        <v>20.48</v>
      </c>
      <c r="H8" s="23">
        <f>AVERAGE(D8,E8,F8)</f>
        <v>20.48</v>
      </c>
      <c r="I8" s="16"/>
      <c r="J8" s="24">
        <v>2.0</v>
      </c>
      <c r="K8" s="25"/>
      <c r="L8" s="26">
        <f>H8*J8</f>
        <v>40.96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0" t="s">
        <v>21</v>
      </c>
      <c r="F9" s="14" t="s">
        <v>130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29.0</v>
      </c>
      <c r="E10" s="21">
        <v>27.5</v>
      </c>
      <c r="F10" s="21"/>
      <c r="G10" s="22">
        <f>SUM(D10,E10,F10)</f>
        <v>56.5</v>
      </c>
      <c r="H10" s="23">
        <f>AVERAGE(D10,E10,F10)</f>
        <v>28.25</v>
      </c>
      <c r="I10" s="16"/>
      <c r="J10" s="24">
        <v>3.0</v>
      </c>
      <c r="K10" s="25"/>
      <c r="L10" s="26">
        <f>H10*J10</f>
        <v>84.75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4" t="s">
        <v>24</v>
      </c>
      <c r="E11" s="34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/>
      <c r="E12" s="21">
        <v>6.68</v>
      </c>
      <c r="F12" s="21">
        <v>5.99</v>
      </c>
      <c r="G12" s="22">
        <f>SUM(D12,E12,F12)</f>
        <v>12.67</v>
      </c>
      <c r="H12" s="23">
        <f>AVERAGE(D12,E12,F12)</f>
        <v>6.335</v>
      </c>
      <c r="I12" s="16"/>
      <c r="J12" s="24">
        <v>3.0</v>
      </c>
      <c r="K12" s="25"/>
      <c r="L12" s="26">
        <f>H12*J12</f>
        <v>19.005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4" t="s">
        <v>174</v>
      </c>
      <c r="E13" s="34" t="s">
        <v>154</v>
      </c>
      <c r="F13" s="14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21"/>
      <c r="F14" s="21">
        <v>12.0</v>
      </c>
      <c r="G14" s="22">
        <f>SUM(D14,E14,F14)</f>
        <v>12</v>
      </c>
      <c r="H14" s="23">
        <f>AVERAGE(D14,E14,F14)</f>
        <v>12</v>
      </c>
      <c r="I14" s="16"/>
      <c r="J14" s="24">
        <v>1.0</v>
      </c>
      <c r="K14" s="25"/>
      <c r="L14" s="26">
        <f>H14*J14</f>
        <v>12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0" t="s">
        <v>33</v>
      </c>
      <c r="F15" s="14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8.9</v>
      </c>
      <c r="E16" s="35"/>
      <c r="F16" s="35"/>
      <c r="G16" s="22">
        <f>SUM(D16,E16,F16)</f>
        <v>8.9</v>
      </c>
      <c r="H16" s="23">
        <f>AVERAGE(D16,E16,F16)</f>
        <v>8.9</v>
      </c>
      <c r="I16" s="16"/>
      <c r="J16" s="24">
        <v>4.0</v>
      </c>
      <c r="K16" s="25"/>
      <c r="L16" s="26">
        <f>H16*J16</f>
        <v>35.6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5.8</v>
      </c>
      <c r="E18" s="35"/>
      <c r="F18" s="35"/>
      <c r="G18" s="22">
        <f>SUM(D18,E18,F18)</f>
        <v>5.8</v>
      </c>
      <c r="H18" s="23">
        <f>AVERAGE(D18,E18,F18)</f>
        <v>5.8</v>
      </c>
      <c r="I18" s="16"/>
      <c r="J18" s="24">
        <v>1.0</v>
      </c>
      <c r="K18" s="25"/>
      <c r="L18" s="26">
        <f>H18*J18</f>
        <v>5.8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5.99</v>
      </c>
      <c r="E20" s="35"/>
      <c r="F20" s="35"/>
      <c r="G20" s="22">
        <f>SUM(D20,E20,F20)</f>
        <v>5.99</v>
      </c>
      <c r="H20" s="23">
        <f>AVERAGE(D20,E20,F20)</f>
        <v>5.99</v>
      </c>
      <c r="I20" s="16"/>
      <c r="J20" s="24">
        <v>9.0</v>
      </c>
      <c r="K20" s="25"/>
      <c r="L20" s="26">
        <f>H20*J20</f>
        <v>53.91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4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31.99</v>
      </c>
      <c r="E22" s="35"/>
      <c r="F22" s="35"/>
      <c r="G22" s="22">
        <f>SUM(D22,E22,F22)</f>
        <v>31.99</v>
      </c>
      <c r="H22" s="23">
        <f>AVERAGE(D22,E22,F22)</f>
        <v>31.99</v>
      </c>
      <c r="I22" s="16"/>
      <c r="J22" s="24">
        <v>0.2</v>
      </c>
      <c r="K22" s="25"/>
      <c r="L22" s="26">
        <f>H22*J22</f>
        <v>6.398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9.9</v>
      </c>
      <c r="E24" s="21"/>
      <c r="F24" s="35"/>
      <c r="G24" s="22">
        <f>SUM(D24,E24,F24)</f>
        <v>9.9</v>
      </c>
      <c r="H24" s="23">
        <f>AVERAGE(D24,E24,F24)</f>
        <v>9.9</v>
      </c>
      <c r="I24" s="4"/>
      <c r="J24" s="24">
        <v>3.0</v>
      </c>
      <c r="K24" s="25"/>
      <c r="L24" s="26">
        <f>H24*J24</f>
        <v>29.7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0" t="s">
        <v>44</v>
      </c>
      <c r="E25" s="30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>
        <v>4.69</v>
      </c>
      <c r="E26" s="35"/>
      <c r="F26" s="21"/>
      <c r="G26" s="22">
        <f>SUM(D26,E26,F26)</f>
        <v>4.69</v>
      </c>
      <c r="H26" s="23">
        <f>AVERAGE(D26,E26,F26)</f>
        <v>4.69</v>
      </c>
      <c r="I26" s="4"/>
      <c r="J26" s="24">
        <v>4.0</v>
      </c>
      <c r="K26" s="25"/>
      <c r="L26" s="26">
        <f>H26*J26</f>
        <v>18.76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46" t="s">
        <v>175</v>
      </c>
      <c r="C27" s="29"/>
      <c r="D27" s="34" t="s">
        <v>176</v>
      </c>
      <c r="E27" s="34" t="s">
        <v>49</v>
      </c>
      <c r="F27" s="13" t="s">
        <v>177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/>
      <c r="E28" s="21">
        <v>2.99</v>
      </c>
      <c r="F28" s="21">
        <v>1.99</v>
      </c>
      <c r="G28" s="22">
        <f>SUM(D28,E28,F28)</f>
        <v>4.98</v>
      </c>
      <c r="H28" s="23">
        <f>AVERAGE(D28,E28,F28)</f>
        <v>2.49</v>
      </c>
      <c r="I28" s="4"/>
      <c r="J28" s="24">
        <v>2.0</v>
      </c>
      <c r="K28" s="25"/>
      <c r="L28" s="26">
        <f>H28*J28</f>
        <v>4.98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13.99</v>
      </c>
      <c r="E30" s="35"/>
      <c r="F30" s="35"/>
      <c r="G30" s="22">
        <f>SUM(D30,E30,F30)</f>
        <v>13.99</v>
      </c>
      <c r="H30" s="23">
        <f>AVERAGE(D30,E30,F30)</f>
        <v>13.99</v>
      </c>
      <c r="I30" s="4"/>
      <c r="J30" s="24">
        <v>6.0</v>
      </c>
      <c r="K30" s="25"/>
      <c r="L30" s="26">
        <f>H30*J30</f>
        <v>83.94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0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3.89</v>
      </c>
      <c r="E32" s="21"/>
      <c r="F32" s="35"/>
      <c r="G32" s="22">
        <f>SUM(D32,E32,F32)</f>
        <v>3.89</v>
      </c>
      <c r="H32" s="23">
        <f>AVERAGE(D32,E32,F32)</f>
        <v>3.89</v>
      </c>
      <c r="I32" s="4"/>
      <c r="J32" s="24">
        <v>7.5</v>
      </c>
      <c r="K32" s="25"/>
      <c r="L32" s="26">
        <f>H32*J32</f>
        <v>29.175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0" t="s">
        <v>57</v>
      </c>
      <c r="E33" s="30" t="s">
        <v>134</v>
      </c>
      <c r="F33" s="14" t="s">
        <v>59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8.39</v>
      </c>
      <c r="E34" s="35"/>
      <c r="F34" s="35"/>
      <c r="G34" s="22">
        <f>SUM(D34,E34,F34)</f>
        <v>8.39</v>
      </c>
      <c r="H34" s="23">
        <f>AVERAGE(D34,E34,F34)</f>
        <v>8.39</v>
      </c>
      <c r="I34" s="4"/>
      <c r="J34" s="24">
        <v>5.0</v>
      </c>
      <c r="K34" s="25"/>
      <c r="L34" s="26">
        <f>H34*J34</f>
        <v>41.95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3" t="s">
        <v>65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5.15</v>
      </c>
      <c r="E36" s="21">
        <v>5.78</v>
      </c>
      <c r="F36" s="21"/>
      <c r="G36" s="22">
        <f>SUM(D36,E36,F36)</f>
        <v>10.93</v>
      </c>
      <c r="H36" s="23">
        <f>AVERAGE(D36,E36,F36)</f>
        <v>5.465</v>
      </c>
      <c r="I36" s="4"/>
      <c r="J36" s="24">
        <v>7.5</v>
      </c>
      <c r="K36" s="25"/>
      <c r="L36" s="26">
        <f>H36*J36</f>
        <v>40.9875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178</v>
      </c>
      <c r="C37" s="29"/>
      <c r="D37" s="34" t="s">
        <v>61</v>
      </c>
      <c r="E37" s="30" t="s">
        <v>135</v>
      </c>
      <c r="F37" s="13" t="s">
        <v>179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/>
      <c r="E38" s="21">
        <v>17.98</v>
      </c>
      <c r="F38" s="21"/>
      <c r="G38" s="22">
        <f>SUM(D38,E38,F38)</f>
        <v>17.98</v>
      </c>
      <c r="H38" s="23">
        <f>AVERAGE(D38,E38,F38)</f>
        <v>17.98</v>
      </c>
      <c r="I38" s="4"/>
      <c r="J38" s="24">
        <v>3.0</v>
      </c>
      <c r="K38" s="25"/>
      <c r="L38" s="26">
        <f>H38*J38</f>
        <v>53.94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0" t="s">
        <v>48</v>
      </c>
      <c r="E39" s="30" t="s">
        <v>136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4.55</v>
      </c>
      <c r="E40" s="21">
        <v>4.2</v>
      </c>
      <c r="F40" s="21"/>
      <c r="G40" s="22">
        <f>SUM(D40,E40,F40)</f>
        <v>8.75</v>
      </c>
      <c r="H40" s="23">
        <f>AVERAGE(D40,E40,F40)</f>
        <v>4.375</v>
      </c>
      <c r="I40" s="4"/>
      <c r="J40" s="24">
        <v>4.0</v>
      </c>
      <c r="K40" s="25"/>
      <c r="L40" s="26">
        <f>H40*J40</f>
        <v>17.5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69</v>
      </c>
      <c r="E41" s="30" t="s">
        <v>70</v>
      </c>
      <c r="F41" s="14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3.29</v>
      </c>
      <c r="G42" s="22">
        <f>SUM(D42,E42,F42)</f>
        <v>3.29</v>
      </c>
      <c r="H42" s="23">
        <f>AVERAGE(D42,E42,F42)</f>
        <v>3.29</v>
      </c>
      <c r="I42" s="4"/>
      <c r="J42" s="24">
        <v>4.0</v>
      </c>
      <c r="K42" s="25"/>
      <c r="L42" s="26">
        <f>H42*J42</f>
        <v>13.16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0" t="s">
        <v>73</v>
      </c>
      <c r="E43" s="30" t="s">
        <v>74</v>
      </c>
      <c r="F43" s="14" t="s">
        <v>138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41.0</v>
      </c>
      <c r="E44" s="21"/>
      <c r="F44" s="21">
        <v>39.99</v>
      </c>
      <c r="G44" s="22">
        <f>SUM(D44,E44,F44)</f>
        <v>80.99</v>
      </c>
      <c r="H44" s="23">
        <f>AVERAGE(D44,E44,F44)</f>
        <v>40.495</v>
      </c>
      <c r="I44" s="4"/>
      <c r="J44" s="24">
        <v>3.0</v>
      </c>
      <c r="K44" s="25"/>
      <c r="L44" s="26">
        <f>H44*J44</f>
        <v>121.485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0" t="s">
        <v>77</v>
      </c>
      <c r="E45" s="30" t="s">
        <v>78</v>
      </c>
      <c r="F45" s="14" t="s">
        <v>139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37.0</v>
      </c>
      <c r="E46" s="21">
        <v>24.0</v>
      </c>
      <c r="F46" s="35"/>
      <c r="G46" s="22">
        <f>SUM(D46,E46,F46)</f>
        <v>61</v>
      </c>
      <c r="H46" s="23">
        <f>AVERAGE(D46,E46,F46)</f>
        <v>30.5</v>
      </c>
      <c r="I46" s="4"/>
      <c r="J46" s="24">
        <v>4.0</v>
      </c>
      <c r="K46" s="25"/>
      <c r="L46" s="26">
        <f>H46*J46</f>
        <v>122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0" t="s">
        <v>84</v>
      </c>
      <c r="E47" s="30" t="s">
        <v>82</v>
      </c>
      <c r="F47" s="13" t="s">
        <v>180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8.99</v>
      </c>
      <c r="E48" s="35"/>
      <c r="F48" s="21"/>
      <c r="G48" s="22">
        <f>SUM(D48,E48,F48)</f>
        <v>8.99</v>
      </c>
      <c r="H48" s="23">
        <f>AVERAGE(D48,E48,F48)</f>
        <v>8.99</v>
      </c>
      <c r="I48" s="4"/>
      <c r="J48" s="24">
        <v>5.0</v>
      </c>
      <c r="K48" s="25"/>
      <c r="L48" s="26">
        <f>H48*J48</f>
        <v>44.95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4" t="s">
        <v>181</v>
      </c>
      <c r="E49" s="30" t="s">
        <v>82</v>
      </c>
      <c r="F49" s="14" t="s">
        <v>85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9.68</v>
      </c>
      <c r="E50" s="21"/>
      <c r="F50" s="21"/>
      <c r="G50" s="22">
        <f>SUM(D50,E50,F50)</f>
        <v>9.68</v>
      </c>
      <c r="H50" s="23">
        <f>AVERAGE(D50,E50,F50)</f>
        <v>9.68</v>
      </c>
      <c r="I50" s="4"/>
      <c r="J50" s="24">
        <v>0.5</v>
      </c>
      <c r="K50" s="25"/>
      <c r="L50" s="26">
        <f>H50*J50</f>
        <v>4.84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4" t="s">
        <v>182</v>
      </c>
      <c r="E51" s="30" t="s">
        <v>82</v>
      </c>
      <c r="F51" s="13" t="s">
        <v>183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16.3</v>
      </c>
      <c r="E52" s="35"/>
      <c r="F52" s="21">
        <v>18.0</v>
      </c>
      <c r="G52" s="22">
        <f>SUM(D52,E52,F52)</f>
        <v>34.3</v>
      </c>
      <c r="H52" s="23">
        <f>AVERAGE(D52,E52,F52)</f>
        <v>17.15</v>
      </c>
      <c r="I52" s="4"/>
      <c r="J52" s="24">
        <v>0.3</v>
      </c>
      <c r="K52" s="25"/>
      <c r="L52" s="26">
        <f>H52*J52</f>
        <v>5.145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4" t="s">
        <v>142</v>
      </c>
      <c r="E53" s="34" t="s">
        <v>184</v>
      </c>
      <c r="F53" s="14" t="s">
        <v>143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55.0</v>
      </c>
      <c r="E54" s="21"/>
      <c r="F54" s="21"/>
      <c r="G54" s="22">
        <f>SUM(D54,E54,F54)</f>
        <v>55</v>
      </c>
      <c r="H54" s="23">
        <f>AVERAGE(D54,E54,F54)</f>
        <v>55</v>
      </c>
      <c r="I54" s="4"/>
      <c r="J54" s="37">
        <v>0.5</v>
      </c>
      <c r="K54" s="38"/>
      <c r="L54" s="26">
        <f>H54*J54</f>
        <v>27.5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106</v>
      </c>
      <c r="B55" s="32"/>
      <c r="C55" s="32"/>
      <c r="D55" s="32"/>
      <c r="E55" s="32"/>
      <c r="F55" s="32"/>
      <c r="G55" s="40"/>
      <c r="H55" s="41">
        <f>SUM(H4:H54)</f>
        <v>394.49</v>
      </c>
      <c r="I55" s="42"/>
      <c r="J55" s="43" t="s">
        <v>6</v>
      </c>
      <c r="K55" s="40"/>
      <c r="L55" s="44">
        <f>SUM(L4:L54)</f>
        <v>1039.5255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144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185</v>
      </c>
      <c r="C57" s="29"/>
      <c r="D57" s="30" t="s">
        <v>94</v>
      </c>
      <c r="E57" s="30" t="s">
        <v>95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9.98</v>
      </c>
      <c r="E58" s="21"/>
      <c r="F58" s="21"/>
      <c r="G58" s="22">
        <f>SUM(D58,E58,F58)</f>
        <v>9.98</v>
      </c>
      <c r="H58" s="23">
        <f>AVERAGE(D58,E58,F58)</f>
        <v>9.98</v>
      </c>
      <c r="I58" s="4"/>
      <c r="J58" s="24">
        <v>4.0</v>
      </c>
      <c r="K58" s="25"/>
      <c r="L58" s="26">
        <f>H58*J58</f>
        <v>39.92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4" t="s">
        <v>186</v>
      </c>
      <c r="E59" s="34" t="s">
        <v>187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2.89</v>
      </c>
      <c r="E60" s="21"/>
      <c r="F60" s="35"/>
      <c r="G60" s="22">
        <f>SUM(D60,E60,F60)</f>
        <v>2.89</v>
      </c>
      <c r="H60" s="23">
        <f>AVERAGE(D60,E60,F60)</f>
        <v>2.89</v>
      </c>
      <c r="I60" s="4"/>
      <c r="J60" s="24">
        <v>15.0</v>
      </c>
      <c r="K60" s="25"/>
      <c r="L60" s="26">
        <f>H60*J60</f>
        <v>43.35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4" t="s">
        <v>99</v>
      </c>
      <c r="E61" s="34" t="s">
        <v>147</v>
      </c>
      <c r="F61" s="13" t="s">
        <v>148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4.99</v>
      </c>
      <c r="E62" s="21"/>
      <c r="F62" s="21"/>
      <c r="G62" s="22">
        <f>SUM(D62,E62,F62)</f>
        <v>4.99</v>
      </c>
      <c r="H62" s="23">
        <f>AVERAGE(D62,E62,F62)</f>
        <v>4.99</v>
      </c>
      <c r="I62" s="4"/>
      <c r="J62" s="24">
        <v>2.0</v>
      </c>
      <c r="K62" s="25"/>
      <c r="L62" s="26">
        <f>H62*J62</f>
        <v>9.98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4" t="s">
        <v>188</v>
      </c>
      <c r="F63" s="14" t="s">
        <v>105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2.99</v>
      </c>
      <c r="E64" s="21">
        <v>2.99</v>
      </c>
      <c r="F64" s="21"/>
      <c r="G64" s="22">
        <f>SUM(D64,E64,F64)</f>
        <v>5.98</v>
      </c>
      <c r="H64" s="23">
        <f>AVERAGE(D64,E64,F64)</f>
        <v>2.99</v>
      </c>
      <c r="I64" s="4"/>
      <c r="J64" s="24">
        <v>2.0</v>
      </c>
      <c r="K64" s="25"/>
      <c r="L64" s="26">
        <f>H64*J64</f>
        <v>5.98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>
        <f>SUM(H57:H64)</f>
        <v>20.85</v>
      </c>
      <c r="I65" s="42"/>
      <c r="J65" s="43" t="s">
        <v>6</v>
      </c>
      <c r="K65" s="40"/>
      <c r="L65" s="44">
        <f>SUM(L57:L64)</f>
        <v>99.23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0" t="s">
        <v>109</v>
      </c>
      <c r="E67" s="34" t="s">
        <v>189</v>
      </c>
      <c r="F67" s="14" t="s">
        <v>150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7.69</v>
      </c>
      <c r="E68" s="21">
        <v>7.69</v>
      </c>
      <c r="F68" s="21"/>
      <c r="G68" s="22">
        <f>SUM(D68,E68,F68)</f>
        <v>15.38</v>
      </c>
      <c r="H68" s="23">
        <f>AVERAGE(D68,E68,F68)</f>
        <v>7.69</v>
      </c>
      <c r="I68" s="4"/>
      <c r="J68" s="24">
        <v>3.0</v>
      </c>
      <c r="K68" s="25"/>
      <c r="L68" s="26">
        <f>H68*J68</f>
        <v>23.07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0" t="s">
        <v>113</v>
      </c>
      <c r="E69" s="30" t="s">
        <v>114</v>
      </c>
      <c r="F69" s="13" t="s">
        <v>190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7.15</v>
      </c>
      <c r="E70" s="21"/>
      <c r="F70" s="21"/>
      <c r="G70" s="22">
        <f>SUM(D70,E70,F70)</f>
        <v>7.15</v>
      </c>
      <c r="H70" s="23">
        <f>AVERAGE(D70,E70,F70)</f>
        <v>7.15</v>
      </c>
      <c r="I70" s="4"/>
      <c r="J70" s="24">
        <v>2.0</v>
      </c>
      <c r="K70" s="25"/>
      <c r="L70" s="26">
        <f>H70*J70</f>
        <v>14.3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115</v>
      </c>
      <c r="C71" s="29"/>
      <c r="D71" s="30" t="s">
        <v>116</v>
      </c>
      <c r="E71" s="34" t="s">
        <v>117</v>
      </c>
      <c r="F71" s="13" t="s">
        <v>191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2.48</v>
      </c>
      <c r="E72" s="21"/>
      <c r="F72" s="21"/>
      <c r="G72" s="22">
        <f>SUM(D72,E72,F72)</f>
        <v>2.48</v>
      </c>
      <c r="H72" s="23">
        <f>AVERAGE(D72,E72,F72)</f>
        <v>2.48</v>
      </c>
      <c r="I72" s="4"/>
      <c r="J72" s="24">
        <v>10.0</v>
      </c>
      <c r="K72" s="25"/>
      <c r="L72" s="26">
        <f>H72*J72</f>
        <v>24.8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192</v>
      </c>
      <c r="F73" s="14" t="s">
        <v>33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16.18</v>
      </c>
      <c r="E74" s="21">
        <v>13.0</v>
      </c>
      <c r="F74" s="35"/>
      <c r="G74" s="22">
        <f>SUM(D74,E74,F74)</f>
        <v>29.18</v>
      </c>
      <c r="H74" s="23">
        <f>AVERAGE(D74,E74,F74)</f>
        <v>14.59</v>
      </c>
      <c r="I74" s="4"/>
      <c r="J74" s="24">
        <v>2.0</v>
      </c>
      <c r="K74" s="25"/>
      <c r="L74" s="26">
        <f>H74*J74</f>
        <v>29.18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4" t="s">
        <v>193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6.4</v>
      </c>
      <c r="E76" s="21">
        <v>5.99</v>
      </c>
      <c r="F76" s="35"/>
      <c r="G76" s="22">
        <f>SUM(D76,E76,F76)</f>
        <v>12.39</v>
      </c>
      <c r="H76" s="23">
        <f>AVERAGE(D76,E76,F76)</f>
        <v>6.195</v>
      </c>
      <c r="I76" s="4"/>
      <c r="J76" s="24">
        <v>1.0</v>
      </c>
      <c r="K76" s="25"/>
      <c r="L76" s="26">
        <f>H76*J76</f>
        <v>6.195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38.105</v>
      </c>
      <c r="I77" s="42"/>
      <c r="J77" s="43" t="s">
        <v>6</v>
      </c>
      <c r="K77" s="40"/>
      <c r="L77" s="49">
        <f>SUM(L68:L76)</f>
        <v>97.545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453.445</v>
      </c>
      <c r="I80" s="4"/>
      <c r="J80" s="4"/>
      <c r="K80" s="54" t="s">
        <v>6</v>
      </c>
      <c r="L80" s="49">
        <f>L55+L65+L77</f>
        <v>1236.3005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194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3" t="s">
        <v>3</v>
      </c>
      <c r="E3" s="14" t="s">
        <v>4</v>
      </c>
      <c r="F3" s="13" t="s">
        <v>5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21.99</v>
      </c>
      <c r="E4" s="21">
        <v>27.0</v>
      </c>
      <c r="F4" s="21"/>
      <c r="G4" s="22">
        <f>SUM(D4,E4,F4)</f>
        <v>48.99</v>
      </c>
      <c r="H4" s="23">
        <f>AVERAGE(D4,E4,F4)</f>
        <v>24.495</v>
      </c>
      <c r="I4" s="16"/>
      <c r="J4" s="24">
        <v>3.0</v>
      </c>
      <c r="K4" s="25" t="s">
        <v>11</v>
      </c>
      <c r="L4" s="26">
        <f>H4*J4</f>
        <v>73.485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3" t="s">
        <v>14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5.48</v>
      </c>
      <c r="E6" s="21">
        <v>5.5</v>
      </c>
      <c r="F6" s="21"/>
      <c r="G6" s="22">
        <f>SUM(D6,E6,F6)</f>
        <v>10.98</v>
      </c>
      <c r="H6" s="23">
        <f>AVERAGE(D6,E6,F6)</f>
        <v>5.49</v>
      </c>
      <c r="I6" s="16"/>
      <c r="J6" s="24">
        <v>4.0</v>
      </c>
      <c r="K6" s="25"/>
      <c r="L6" s="26">
        <f>H6*J6</f>
        <v>21.96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4" t="s">
        <v>17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16.99</v>
      </c>
      <c r="E8" s="21">
        <v>17.3</v>
      </c>
      <c r="F8" s="35"/>
      <c r="G8" s="22">
        <f>SUM(D8,E8,F8)</f>
        <v>34.29</v>
      </c>
      <c r="H8" s="23">
        <f>AVERAGE(D8,E8,F8)</f>
        <v>17.145</v>
      </c>
      <c r="I8" s="16"/>
      <c r="J8" s="24">
        <v>2.0</v>
      </c>
      <c r="K8" s="25"/>
      <c r="L8" s="26">
        <f>H8*J8</f>
        <v>34.29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4" t="s">
        <v>21</v>
      </c>
      <c r="F9" s="13" t="s">
        <v>195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23.9</v>
      </c>
      <c r="E10" s="21"/>
      <c r="F10" s="21"/>
      <c r="G10" s="22">
        <f>SUM(D10,E10,F10)</f>
        <v>23.9</v>
      </c>
      <c r="H10" s="23">
        <f>AVERAGE(D10,E10,F10)</f>
        <v>23.9</v>
      </c>
      <c r="I10" s="16"/>
      <c r="J10" s="24">
        <v>3.0</v>
      </c>
      <c r="K10" s="25"/>
      <c r="L10" s="26">
        <f>H10*J10</f>
        <v>71.7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0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35"/>
      <c r="E12" s="21">
        <v>4.48</v>
      </c>
      <c r="F12" s="21"/>
      <c r="G12" s="22">
        <f>SUM(D12,E12,F12)</f>
        <v>4.48</v>
      </c>
      <c r="H12" s="23">
        <f>AVERAGE(D12,E12,F12)</f>
        <v>4.48</v>
      </c>
      <c r="I12" s="16"/>
      <c r="J12" s="24">
        <v>3.0</v>
      </c>
      <c r="K12" s="25"/>
      <c r="L12" s="26">
        <f>H12*J12</f>
        <v>13.44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0" t="s">
        <v>28</v>
      </c>
      <c r="E13" s="34" t="s">
        <v>29</v>
      </c>
      <c r="F13" s="14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>
        <v>5.89</v>
      </c>
      <c r="E14" s="21">
        <v>5.3</v>
      </c>
      <c r="F14" s="35"/>
      <c r="G14" s="22">
        <f>SUM(D14,E14,F14)</f>
        <v>11.19</v>
      </c>
      <c r="H14" s="23">
        <f>AVERAGE(D14,E14,F14)</f>
        <v>5.595</v>
      </c>
      <c r="I14" s="16"/>
      <c r="J14" s="24">
        <v>1.0</v>
      </c>
      <c r="K14" s="25"/>
      <c r="L14" s="26">
        <f>H14*J14</f>
        <v>5.595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0" t="s">
        <v>33</v>
      </c>
      <c r="F15" s="14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3.3</v>
      </c>
      <c r="E16" s="35"/>
      <c r="F16" s="35"/>
      <c r="G16" s="22">
        <f>SUM(D16,E16,F16)</f>
        <v>3.3</v>
      </c>
      <c r="H16" s="23">
        <f>AVERAGE(D16,E16,F16)</f>
        <v>3.3</v>
      </c>
      <c r="I16" s="16"/>
      <c r="J16" s="24">
        <v>4.0</v>
      </c>
      <c r="K16" s="25"/>
      <c r="L16" s="26">
        <f>H16*J16</f>
        <v>13.2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1.99</v>
      </c>
      <c r="E18" s="35"/>
      <c r="F18" s="35"/>
      <c r="G18" s="22">
        <f>SUM(D18,E18,F18)</f>
        <v>1.99</v>
      </c>
      <c r="H18" s="23">
        <f>AVERAGE(D18,E18,F18)</f>
        <v>1.99</v>
      </c>
      <c r="I18" s="16"/>
      <c r="J18" s="24">
        <v>1.0</v>
      </c>
      <c r="K18" s="25"/>
      <c r="L18" s="26">
        <f>H18*J18</f>
        <v>1.99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3.89</v>
      </c>
      <c r="E20" s="35"/>
      <c r="F20" s="35"/>
      <c r="G20" s="22">
        <f>SUM(D20,E20,F20)</f>
        <v>3.89</v>
      </c>
      <c r="H20" s="23">
        <f>AVERAGE(D20,E20,F20)</f>
        <v>3.89</v>
      </c>
      <c r="I20" s="16"/>
      <c r="J20" s="24">
        <v>9.0</v>
      </c>
      <c r="K20" s="25"/>
      <c r="L20" s="26">
        <f>H20*J20</f>
        <v>35.01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0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23.89</v>
      </c>
      <c r="E22" s="35"/>
      <c r="F22" s="35"/>
      <c r="G22" s="22">
        <f>SUM(D22,E22,F22)</f>
        <v>23.89</v>
      </c>
      <c r="H22" s="23">
        <f>AVERAGE(D22,E22,F22)</f>
        <v>23.89</v>
      </c>
      <c r="I22" s="16"/>
      <c r="J22" s="24">
        <v>0.2</v>
      </c>
      <c r="K22" s="25"/>
      <c r="L22" s="26">
        <f>H22*J22</f>
        <v>4.778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4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8.0</v>
      </c>
      <c r="E24" s="21"/>
      <c r="F24" s="35"/>
      <c r="G24" s="22">
        <f>SUM(D24,E24,F24)</f>
        <v>8</v>
      </c>
      <c r="H24" s="23">
        <f>AVERAGE(D24,E24,F24)</f>
        <v>8</v>
      </c>
      <c r="I24" s="4"/>
      <c r="J24" s="24">
        <v>3.0</v>
      </c>
      <c r="K24" s="25"/>
      <c r="L24" s="26">
        <f>H24*J24</f>
        <v>24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0" t="s">
        <v>44</v>
      </c>
      <c r="E25" s="34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>
        <v>4.78</v>
      </c>
      <c r="E26" s="21">
        <v>4.38</v>
      </c>
      <c r="F26" s="21">
        <v>4.38</v>
      </c>
      <c r="G26" s="22">
        <f>SUM(D26,E26,F26)</f>
        <v>13.54</v>
      </c>
      <c r="H26" s="23">
        <f>AVERAGE(D26,E26,F26)</f>
        <v>4.513333333</v>
      </c>
      <c r="I26" s="4"/>
      <c r="J26" s="24">
        <v>4.0</v>
      </c>
      <c r="K26" s="25"/>
      <c r="L26" s="26">
        <f>H26*J26</f>
        <v>18.05333333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28" t="s">
        <v>47</v>
      </c>
      <c r="C27" s="29"/>
      <c r="D27" s="30" t="s">
        <v>48</v>
      </c>
      <c r="E27" s="34" t="s">
        <v>49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>
        <v>2.38</v>
      </c>
      <c r="E28" s="21">
        <v>2.3</v>
      </c>
      <c r="F28" s="21">
        <v>1.89</v>
      </c>
      <c r="G28" s="22">
        <f>SUM(D28,E28,F28)</f>
        <v>6.57</v>
      </c>
      <c r="H28" s="23">
        <f>AVERAGE(D28,E28,F28)</f>
        <v>2.19</v>
      </c>
      <c r="I28" s="4"/>
      <c r="J28" s="24">
        <v>2.0</v>
      </c>
      <c r="K28" s="25"/>
      <c r="L28" s="26">
        <f>H28*J28</f>
        <v>4.38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12.99</v>
      </c>
      <c r="E30" s="35"/>
      <c r="F30" s="35"/>
      <c r="G30" s="22">
        <f>SUM(D30,E30,F30)</f>
        <v>12.99</v>
      </c>
      <c r="H30" s="23">
        <f>AVERAGE(D30,E30,F30)</f>
        <v>12.99</v>
      </c>
      <c r="I30" s="4"/>
      <c r="J30" s="24">
        <v>6.0</v>
      </c>
      <c r="K30" s="25"/>
      <c r="L30" s="26">
        <f>H30*J30</f>
        <v>77.94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4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3.99</v>
      </c>
      <c r="E32" s="21"/>
      <c r="F32" s="35"/>
      <c r="G32" s="22">
        <f>SUM(D32,E32,F32)</f>
        <v>3.99</v>
      </c>
      <c r="H32" s="23">
        <f>AVERAGE(D32,E32,F32)</f>
        <v>3.99</v>
      </c>
      <c r="I32" s="4"/>
      <c r="J32" s="24">
        <v>7.5</v>
      </c>
      <c r="K32" s="25"/>
      <c r="L32" s="26">
        <f>H32*J32</f>
        <v>29.925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4" t="s">
        <v>57</v>
      </c>
      <c r="E33" s="34" t="s">
        <v>58</v>
      </c>
      <c r="F33" s="14" t="s">
        <v>59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7.89</v>
      </c>
      <c r="E34" s="21"/>
      <c r="F34" s="35"/>
      <c r="G34" s="22">
        <f>SUM(D34,E34,F34)</f>
        <v>7.89</v>
      </c>
      <c r="H34" s="23">
        <f>AVERAGE(D34,E34,F34)</f>
        <v>7.89</v>
      </c>
      <c r="I34" s="4"/>
      <c r="J34" s="24">
        <v>5.0</v>
      </c>
      <c r="K34" s="25"/>
      <c r="L34" s="26">
        <f>H34*J34</f>
        <v>39.45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4" t="s">
        <v>63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5.38</v>
      </c>
      <c r="E36" s="21">
        <v>5.1</v>
      </c>
      <c r="F36" s="21"/>
      <c r="G36" s="22">
        <f>SUM(D36,E36,F36)</f>
        <v>10.48</v>
      </c>
      <c r="H36" s="23">
        <f>AVERAGE(D36,E36,F36)</f>
        <v>5.24</v>
      </c>
      <c r="I36" s="4"/>
      <c r="J36" s="24">
        <v>7.5</v>
      </c>
      <c r="K36" s="25"/>
      <c r="L36" s="26">
        <f>H36*J36</f>
        <v>39.3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28" t="s">
        <v>64</v>
      </c>
      <c r="C37" s="29"/>
      <c r="D37" s="30" t="s">
        <v>61</v>
      </c>
      <c r="E37" s="34" t="s">
        <v>65</v>
      </c>
      <c r="F37" s="14" t="s">
        <v>63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16.99</v>
      </c>
      <c r="E38" s="21">
        <v>16.0</v>
      </c>
      <c r="F38" s="21">
        <v>17.3</v>
      </c>
      <c r="G38" s="22">
        <f>SUM(D38,E38,F38)</f>
        <v>50.29</v>
      </c>
      <c r="H38" s="23">
        <f>AVERAGE(D38,E38,F38)</f>
        <v>16.76333333</v>
      </c>
      <c r="I38" s="4"/>
      <c r="J38" s="24">
        <v>3.0</v>
      </c>
      <c r="K38" s="25"/>
      <c r="L38" s="26">
        <f>H38*J38</f>
        <v>50.29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4" t="s">
        <v>48</v>
      </c>
      <c r="E39" s="34" t="s">
        <v>67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3.99</v>
      </c>
      <c r="E40" s="21">
        <v>3.78</v>
      </c>
      <c r="F40" s="21">
        <v>3.89</v>
      </c>
      <c r="G40" s="22">
        <f>SUM(D40,E40,F40)</f>
        <v>11.66</v>
      </c>
      <c r="H40" s="23">
        <f>AVERAGE(D40,E40,F40)</f>
        <v>3.886666667</v>
      </c>
      <c r="I40" s="4"/>
      <c r="J40" s="24">
        <v>4.0</v>
      </c>
      <c r="K40" s="25"/>
      <c r="L40" s="26">
        <f>H40*J40</f>
        <v>15.54666667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69</v>
      </c>
      <c r="E41" s="30" t="s">
        <v>70</v>
      </c>
      <c r="F41" s="14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2.99</v>
      </c>
      <c r="G42" s="22">
        <f>SUM(D42,E42,F42)</f>
        <v>2.99</v>
      </c>
      <c r="H42" s="23">
        <f>AVERAGE(D42,E42,F42)</f>
        <v>2.99</v>
      </c>
      <c r="I42" s="4"/>
      <c r="J42" s="24">
        <v>4.0</v>
      </c>
      <c r="K42" s="25"/>
      <c r="L42" s="26">
        <f>H42*J42</f>
        <v>11.96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0" t="s">
        <v>73</v>
      </c>
      <c r="E43" s="30" t="s">
        <v>74</v>
      </c>
      <c r="F43" s="13" t="s">
        <v>75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39.99</v>
      </c>
      <c r="E44" s="21">
        <v>38.0</v>
      </c>
      <c r="F44" s="21"/>
      <c r="G44" s="22">
        <f>SUM(D44,E44,F44)</f>
        <v>77.99</v>
      </c>
      <c r="H44" s="23">
        <f>AVERAGE(D44,E44,F44)</f>
        <v>38.995</v>
      </c>
      <c r="I44" s="4"/>
      <c r="J44" s="24">
        <v>3.0</v>
      </c>
      <c r="K44" s="25"/>
      <c r="L44" s="26">
        <f>H44*J44</f>
        <v>116.985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0" t="s">
        <v>77</v>
      </c>
      <c r="E45" s="30" t="s">
        <v>78</v>
      </c>
      <c r="F45" s="13" t="s">
        <v>196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32.99</v>
      </c>
      <c r="E46" s="21">
        <v>23.0</v>
      </c>
      <c r="F46" s="21"/>
      <c r="G46" s="22">
        <f>SUM(D46,E46,F46)</f>
        <v>55.99</v>
      </c>
      <c r="H46" s="23">
        <f>AVERAGE(D46,E46,F46)</f>
        <v>27.995</v>
      </c>
      <c r="I46" s="4"/>
      <c r="J46" s="24">
        <v>4.0</v>
      </c>
      <c r="K46" s="25"/>
      <c r="L46" s="26">
        <f>H46*J46</f>
        <v>111.98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4" t="s">
        <v>81</v>
      </c>
      <c r="E47" s="30" t="s">
        <v>82</v>
      </c>
      <c r="F47" s="14" t="s">
        <v>33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10.99</v>
      </c>
      <c r="E48" s="21">
        <v>9.8</v>
      </c>
      <c r="F48" s="21"/>
      <c r="G48" s="22">
        <f>SUM(D48,E48,F48)</f>
        <v>20.79</v>
      </c>
      <c r="H48" s="23">
        <f>AVERAGE(D48,E48,F48)</f>
        <v>10.395</v>
      </c>
      <c r="I48" s="4"/>
      <c r="J48" s="24">
        <v>5.0</v>
      </c>
      <c r="K48" s="25"/>
      <c r="L48" s="26">
        <f>H48*J48</f>
        <v>51.975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0" t="s">
        <v>84</v>
      </c>
      <c r="E49" s="30" t="s">
        <v>82</v>
      </c>
      <c r="F49" s="14" t="s">
        <v>85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9.99</v>
      </c>
      <c r="E50" s="21"/>
      <c r="F50" s="21"/>
      <c r="G50" s="22">
        <f>SUM(D50,E50,F50)</f>
        <v>9.99</v>
      </c>
      <c r="H50" s="23">
        <f>AVERAGE(D50,E50,F50)</f>
        <v>9.99</v>
      </c>
      <c r="I50" s="4"/>
      <c r="J50" s="24">
        <v>0.5</v>
      </c>
      <c r="K50" s="25"/>
      <c r="L50" s="26">
        <f>H50*J50</f>
        <v>4.995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0" t="s">
        <v>84</v>
      </c>
      <c r="E51" s="30" t="s">
        <v>82</v>
      </c>
      <c r="F51" s="13" t="s">
        <v>87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14.99</v>
      </c>
      <c r="E52" s="21"/>
      <c r="F52" s="21"/>
      <c r="G52" s="22">
        <f>SUM(D52,E52,F52)</f>
        <v>14.99</v>
      </c>
      <c r="H52" s="23">
        <f>AVERAGE(D52,E52,F52)</f>
        <v>14.99</v>
      </c>
      <c r="I52" s="4"/>
      <c r="J52" s="24">
        <v>0.3</v>
      </c>
      <c r="K52" s="25"/>
      <c r="L52" s="26">
        <f>H52*J52</f>
        <v>4.497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0" t="s">
        <v>89</v>
      </c>
      <c r="E53" s="30" t="s">
        <v>90</v>
      </c>
      <c r="F53" s="13" t="s">
        <v>91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42.0</v>
      </c>
      <c r="E54" s="21">
        <v>39.99</v>
      </c>
      <c r="F54" s="21"/>
      <c r="G54" s="22">
        <f>SUM(D54,E54,F54)</f>
        <v>81.99</v>
      </c>
      <c r="H54" s="23">
        <f>AVERAGE(D54,E54,F54)</f>
        <v>40.995</v>
      </c>
      <c r="I54" s="4"/>
      <c r="J54" s="37">
        <v>0.5</v>
      </c>
      <c r="K54" s="38"/>
      <c r="L54" s="26">
        <f>H54*J54</f>
        <v>20.4975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9" t="s">
        <v>92</v>
      </c>
      <c r="B55" s="32"/>
      <c r="C55" s="32"/>
      <c r="D55" s="32"/>
      <c r="E55" s="32"/>
      <c r="F55" s="32"/>
      <c r="G55" s="40"/>
      <c r="H55" s="41">
        <f>SUM(H4:H54)</f>
        <v>325.9883333</v>
      </c>
      <c r="I55" s="42"/>
      <c r="J55" s="43" t="s">
        <v>6</v>
      </c>
      <c r="K55" s="40"/>
      <c r="L55" s="44">
        <f>SUM(L4:L54)</f>
        <v>897.2225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93</v>
      </c>
      <c r="C57" s="29"/>
      <c r="D57" s="30" t="s">
        <v>94</v>
      </c>
      <c r="E57" s="30" t="s">
        <v>95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5.7</v>
      </c>
      <c r="E58" s="21">
        <v>5.7</v>
      </c>
      <c r="F58" s="21">
        <v>5.89</v>
      </c>
      <c r="G58" s="22">
        <f>SUM(D58,E58,F58)</f>
        <v>17.29</v>
      </c>
      <c r="H58" s="23">
        <f>AVERAGE(D58,E58,F58)</f>
        <v>5.763333333</v>
      </c>
      <c r="I58" s="4"/>
      <c r="J58" s="24">
        <v>4.0</v>
      </c>
      <c r="K58" s="25"/>
      <c r="L58" s="26">
        <f>H58*J58</f>
        <v>23.05333333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4" t="s">
        <v>98</v>
      </c>
      <c r="E59" s="34" t="s">
        <v>187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2.89</v>
      </c>
      <c r="E60" s="21">
        <v>2.89</v>
      </c>
      <c r="F60" s="35"/>
      <c r="G60" s="22">
        <f>SUM(D60,E60,F60)</f>
        <v>5.78</v>
      </c>
      <c r="H60" s="23">
        <f>AVERAGE(D60,E60,F60)</f>
        <v>2.89</v>
      </c>
      <c r="I60" s="4"/>
      <c r="J60" s="24">
        <v>15.0</v>
      </c>
      <c r="K60" s="25"/>
      <c r="L60" s="26">
        <f>H60*J60</f>
        <v>43.35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197</v>
      </c>
      <c r="F61" s="13" t="s">
        <v>102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2.69</v>
      </c>
      <c r="E62" s="21"/>
      <c r="F62" s="21"/>
      <c r="G62" s="22">
        <f>SUM(D62,E62,F62)</f>
        <v>2.69</v>
      </c>
      <c r="H62" s="23">
        <f>AVERAGE(D62,E62,F62)</f>
        <v>2.69</v>
      </c>
      <c r="I62" s="4"/>
      <c r="J62" s="24">
        <v>2.0</v>
      </c>
      <c r="K62" s="25"/>
      <c r="L62" s="26">
        <f>H62*J62</f>
        <v>5.38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4" t="s">
        <v>105</v>
      </c>
      <c r="F63" s="14" t="s">
        <v>105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2.29</v>
      </c>
      <c r="E64" s="21">
        <v>1.99</v>
      </c>
      <c r="F64" s="21"/>
      <c r="G64" s="22">
        <f>SUM(D64,E64,F64)</f>
        <v>4.28</v>
      </c>
      <c r="H64" s="23">
        <f>AVERAGE(D64,E64,F64)</f>
        <v>2.14</v>
      </c>
      <c r="I64" s="4"/>
      <c r="J64" s="24">
        <v>2.0</v>
      </c>
      <c r="K64" s="25"/>
      <c r="L64" s="26">
        <f>H64*J64</f>
        <v>4.28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>
        <f>SUM(H57:H64)</f>
        <v>13.48333333</v>
      </c>
      <c r="I65" s="42"/>
      <c r="J65" s="43" t="s">
        <v>6</v>
      </c>
      <c r="K65" s="40"/>
      <c r="L65" s="44">
        <f>SUM(L57:L64)</f>
        <v>76.06333333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0" t="s">
        <v>109</v>
      </c>
      <c r="E67" s="34" t="s">
        <v>110</v>
      </c>
      <c r="F67" s="13" t="s">
        <v>111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6.1</v>
      </c>
      <c r="E68" s="21">
        <v>6.1</v>
      </c>
      <c r="F68" s="21"/>
      <c r="G68" s="22">
        <f>SUM(D68,E68,F68)</f>
        <v>12.2</v>
      </c>
      <c r="H68" s="23">
        <f>AVERAGE(D68,E68,F68)</f>
        <v>6.1</v>
      </c>
      <c r="I68" s="4"/>
      <c r="J68" s="24">
        <v>3.0</v>
      </c>
      <c r="K68" s="25"/>
      <c r="L68" s="26">
        <f>H68*J68</f>
        <v>18.3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4" t="s">
        <v>113</v>
      </c>
      <c r="E69" s="30" t="s">
        <v>114</v>
      </c>
      <c r="F69" s="14" t="s">
        <v>33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4.98</v>
      </c>
      <c r="E70" s="21">
        <v>4.39</v>
      </c>
      <c r="F70" s="35"/>
      <c r="G70" s="22">
        <f>SUM(D70,E70,F70)</f>
        <v>9.37</v>
      </c>
      <c r="H70" s="23">
        <f>AVERAGE(D70,E70,F70)</f>
        <v>4.685</v>
      </c>
      <c r="I70" s="4"/>
      <c r="J70" s="24">
        <v>2.0</v>
      </c>
      <c r="K70" s="25"/>
      <c r="L70" s="26">
        <f>H70*J70</f>
        <v>9.37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115</v>
      </c>
      <c r="C71" s="29"/>
      <c r="D71" s="30" t="s">
        <v>116</v>
      </c>
      <c r="E71" s="30" t="s">
        <v>117</v>
      </c>
      <c r="F71" s="13" t="s">
        <v>118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2.29</v>
      </c>
      <c r="E72" s="21"/>
      <c r="F72" s="21"/>
      <c r="G72" s="22">
        <f>SUM(D72,E72,F72)</f>
        <v>2.29</v>
      </c>
      <c r="H72" s="23">
        <f>AVERAGE(D72,E72,F72)</f>
        <v>2.29</v>
      </c>
      <c r="I72" s="4"/>
      <c r="J72" s="24">
        <v>10.0</v>
      </c>
      <c r="K72" s="25"/>
      <c r="L72" s="26">
        <f>H72*J72</f>
        <v>22.9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121</v>
      </c>
      <c r="F73" s="14" t="s">
        <v>33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12.0</v>
      </c>
      <c r="E74" s="21">
        <v>12.0</v>
      </c>
      <c r="F74" s="35"/>
      <c r="G74" s="22">
        <f>SUM(D74,E74,F74)</f>
        <v>24</v>
      </c>
      <c r="H74" s="23">
        <f>AVERAGE(D74,E74,F74)</f>
        <v>12</v>
      </c>
      <c r="I74" s="4"/>
      <c r="J74" s="24">
        <v>2.0</v>
      </c>
      <c r="K74" s="25"/>
      <c r="L74" s="26">
        <f>H74*J74</f>
        <v>24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0" t="s">
        <v>124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3.49</v>
      </c>
      <c r="E76" s="21">
        <v>3.89</v>
      </c>
      <c r="F76" s="35"/>
      <c r="G76" s="22">
        <f>SUM(D76,E76,F76)</f>
        <v>7.38</v>
      </c>
      <c r="H76" s="23">
        <f>AVERAGE(D76,E76,F76)</f>
        <v>3.69</v>
      </c>
      <c r="I76" s="4"/>
      <c r="J76" s="24">
        <v>1.0</v>
      </c>
      <c r="K76" s="25"/>
      <c r="L76" s="26">
        <f>H76*J76</f>
        <v>3.69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28.765</v>
      </c>
      <c r="I77" s="42"/>
      <c r="J77" s="43" t="s">
        <v>6</v>
      </c>
      <c r="K77" s="40"/>
      <c r="L77" s="49">
        <f>SUM(L68:L76)</f>
        <v>78.26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368.2366667</v>
      </c>
      <c r="I80" s="4"/>
      <c r="J80" s="4"/>
      <c r="K80" s="54" t="s">
        <v>6</v>
      </c>
      <c r="L80" s="49">
        <f>L55+L65+L77</f>
        <v>1051.545833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198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164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31.0</v>
      </c>
      <c r="E4" s="21">
        <v>29.99</v>
      </c>
      <c r="F4" s="21"/>
      <c r="G4" s="22">
        <f>SUM(D4,E4,F4)</f>
        <v>60.99</v>
      </c>
      <c r="H4" s="23">
        <f>AVERAGE(D4,E4,F4)</f>
        <v>30.495</v>
      </c>
      <c r="I4" s="16"/>
      <c r="J4" s="24">
        <v>3.0</v>
      </c>
      <c r="K4" s="25" t="s">
        <v>11</v>
      </c>
      <c r="L4" s="26">
        <f>H4*J4</f>
        <v>91.485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4" t="s">
        <v>199</v>
      </c>
      <c r="F5" s="14" t="s">
        <v>127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6.1</v>
      </c>
      <c r="E6" s="21">
        <v>5.99</v>
      </c>
      <c r="F6" s="35"/>
      <c r="G6" s="22">
        <f>SUM(D6,E6,F6)</f>
        <v>12.09</v>
      </c>
      <c r="H6" s="23">
        <f>AVERAGE(D6,E6,F6)</f>
        <v>6.045</v>
      </c>
      <c r="I6" s="16"/>
      <c r="J6" s="24">
        <v>4.0</v>
      </c>
      <c r="K6" s="25"/>
      <c r="L6" s="26">
        <f>H6*J6</f>
        <v>24.18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129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18.19</v>
      </c>
      <c r="E8" s="35"/>
      <c r="F8" s="35"/>
      <c r="G8" s="22">
        <f>SUM(D8,E8,F8)</f>
        <v>18.19</v>
      </c>
      <c r="H8" s="23">
        <f>AVERAGE(D8,E8,F8)</f>
        <v>18.19</v>
      </c>
      <c r="I8" s="16"/>
      <c r="J8" s="24">
        <v>2.0</v>
      </c>
      <c r="K8" s="25"/>
      <c r="L8" s="26">
        <f>H8*J8</f>
        <v>36.38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4" t="s">
        <v>21</v>
      </c>
      <c r="F9" s="14" t="s">
        <v>130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25.99</v>
      </c>
      <c r="E10" s="21">
        <v>26.0</v>
      </c>
      <c r="F10" s="35"/>
      <c r="G10" s="22">
        <f>SUM(D10,E10,F10)</f>
        <v>51.99</v>
      </c>
      <c r="H10" s="23">
        <f>AVERAGE(D10,E10,F10)</f>
        <v>25.995</v>
      </c>
      <c r="I10" s="16"/>
      <c r="J10" s="24">
        <v>3.0</v>
      </c>
      <c r="K10" s="25"/>
      <c r="L10" s="26">
        <f>H10*J10</f>
        <v>77.985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0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6.0</v>
      </c>
      <c r="E12" s="21">
        <v>6.19</v>
      </c>
      <c r="F12" s="21"/>
      <c r="G12" s="22">
        <f>SUM(D12,E12,F12)</f>
        <v>12.19</v>
      </c>
      <c r="H12" s="23">
        <f>AVERAGE(D12,E12,F12)</f>
        <v>6.095</v>
      </c>
      <c r="I12" s="16"/>
      <c r="J12" s="24">
        <v>3.0</v>
      </c>
      <c r="K12" s="25"/>
      <c r="L12" s="26">
        <f>H12*J12</f>
        <v>18.285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0" t="s">
        <v>28</v>
      </c>
      <c r="E13" s="30" t="s">
        <v>133</v>
      </c>
      <c r="F13" s="13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21">
        <v>5.0</v>
      </c>
      <c r="F14" s="21">
        <v>8.99</v>
      </c>
      <c r="G14" s="22">
        <f>SUM(D14,E14,F14)</f>
        <v>13.99</v>
      </c>
      <c r="H14" s="23">
        <f>AVERAGE(D14,E14,F14)</f>
        <v>6.995</v>
      </c>
      <c r="I14" s="16"/>
      <c r="J14" s="24">
        <v>1.0</v>
      </c>
      <c r="K14" s="25"/>
      <c r="L14" s="26">
        <f>H14*J14</f>
        <v>6.995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0" t="s">
        <v>33</v>
      </c>
      <c r="F15" s="14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4.99</v>
      </c>
      <c r="E16" s="35"/>
      <c r="F16" s="35"/>
      <c r="G16" s="22">
        <f>SUM(D16,E16,F16)</f>
        <v>4.99</v>
      </c>
      <c r="H16" s="23">
        <f>AVERAGE(D16,E16,F16)</f>
        <v>4.99</v>
      </c>
      <c r="I16" s="16"/>
      <c r="J16" s="24">
        <v>4.0</v>
      </c>
      <c r="K16" s="25"/>
      <c r="L16" s="26">
        <f>H16*J16</f>
        <v>19.96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2.99</v>
      </c>
      <c r="E18" s="35"/>
      <c r="F18" s="35"/>
      <c r="G18" s="22">
        <f>SUM(D18,E18,F18)</f>
        <v>2.99</v>
      </c>
      <c r="H18" s="23">
        <f>AVERAGE(D18,E18,F18)</f>
        <v>2.99</v>
      </c>
      <c r="I18" s="16"/>
      <c r="J18" s="24">
        <v>1.0</v>
      </c>
      <c r="K18" s="25"/>
      <c r="L18" s="26">
        <f>H18*J18</f>
        <v>2.99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8.99</v>
      </c>
      <c r="E20" s="35"/>
      <c r="F20" s="35"/>
      <c r="G20" s="22">
        <f>SUM(D20,E20,F20)</f>
        <v>8.99</v>
      </c>
      <c r="H20" s="23">
        <f>AVERAGE(D20,E20,F20)</f>
        <v>8.99</v>
      </c>
      <c r="I20" s="16"/>
      <c r="J20" s="24">
        <v>9.0</v>
      </c>
      <c r="K20" s="25"/>
      <c r="L20" s="26">
        <f>H20*J20</f>
        <v>80.91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0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26.0</v>
      </c>
      <c r="E22" s="35"/>
      <c r="F22" s="35"/>
      <c r="G22" s="22">
        <f>SUM(D22,E22,F22)</f>
        <v>26</v>
      </c>
      <c r="H22" s="23">
        <f>AVERAGE(D22,E22,F22)</f>
        <v>26</v>
      </c>
      <c r="I22" s="16"/>
      <c r="J22" s="24">
        <v>0.2</v>
      </c>
      <c r="K22" s="25"/>
      <c r="L22" s="26">
        <f>H22*J22</f>
        <v>5.2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9.15</v>
      </c>
      <c r="E24" s="21"/>
      <c r="F24" s="35"/>
      <c r="G24" s="22">
        <f>SUM(D24,E24,F24)</f>
        <v>9.15</v>
      </c>
      <c r="H24" s="23">
        <f>AVERAGE(D24,E24,F24)</f>
        <v>9.15</v>
      </c>
      <c r="I24" s="4"/>
      <c r="J24" s="24">
        <v>3.0</v>
      </c>
      <c r="K24" s="25"/>
      <c r="L24" s="26">
        <f>H24*J24</f>
        <v>27.45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0" t="s">
        <v>44</v>
      </c>
      <c r="E25" s="30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>
        <v>4.98</v>
      </c>
      <c r="E26" s="35"/>
      <c r="F26" s="21"/>
      <c r="G26" s="22">
        <f>SUM(D26,E26,F26)</f>
        <v>4.98</v>
      </c>
      <c r="H26" s="23">
        <f>AVERAGE(D26,E26,F26)</f>
        <v>4.98</v>
      </c>
      <c r="I26" s="4"/>
      <c r="J26" s="24">
        <v>4.0</v>
      </c>
      <c r="K26" s="25"/>
      <c r="L26" s="26">
        <f>H26*J26</f>
        <v>19.92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46" t="s">
        <v>175</v>
      </c>
      <c r="C27" s="29"/>
      <c r="D27" s="30" t="s">
        <v>48</v>
      </c>
      <c r="E27" s="34" t="s">
        <v>49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>
        <v>3.8</v>
      </c>
      <c r="E28" s="21">
        <v>3.69</v>
      </c>
      <c r="F28" s="21"/>
      <c r="G28" s="22">
        <f>SUM(D28,E28,F28)</f>
        <v>7.49</v>
      </c>
      <c r="H28" s="23">
        <f>AVERAGE(D28,E28,F28)</f>
        <v>3.745</v>
      </c>
      <c r="I28" s="4"/>
      <c r="J28" s="24">
        <v>2.0</v>
      </c>
      <c r="K28" s="25"/>
      <c r="L28" s="26">
        <f>H28*J28</f>
        <v>7.49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14.0</v>
      </c>
      <c r="E30" s="35"/>
      <c r="F30" s="35"/>
      <c r="G30" s="22">
        <f>SUM(D30,E30,F30)</f>
        <v>14</v>
      </c>
      <c r="H30" s="23">
        <f>AVERAGE(D30,E30,F30)</f>
        <v>14</v>
      </c>
      <c r="I30" s="4"/>
      <c r="J30" s="24">
        <v>6.0</v>
      </c>
      <c r="K30" s="25"/>
      <c r="L30" s="26">
        <f>H30*J30</f>
        <v>84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0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5.38</v>
      </c>
      <c r="E32" s="21"/>
      <c r="F32" s="35"/>
      <c r="G32" s="22">
        <f>SUM(D32,E32,F32)</f>
        <v>5.38</v>
      </c>
      <c r="H32" s="23">
        <f>AVERAGE(D32,E32,F32)</f>
        <v>5.38</v>
      </c>
      <c r="I32" s="4"/>
      <c r="J32" s="24">
        <v>7.5</v>
      </c>
      <c r="K32" s="25"/>
      <c r="L32" s="26">
        <f>H32*J32</f>
        <v>40.35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0" t="s">
        <v>57</v>
      </c>
      <c r="E33" s="34" t="s">
        <v>58</v>
      </c>
      <c r="F33" s="13" t="s">
        <v>200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7.99</v>
      </c>
      <c r="E34" s="21"/>
      <c r="F34" s="21"/>
      <c r="G34" s="22">
        <f>SUM(D34,E34,F34)</f>
        <v>7.99</v>
      </c>
      <c r="H34" s="23">
        <f>AVERAGE(D34,E34,F34)</f>
        <v>7.99</v>
      </c>
      <c r="I34" s="4"/>
      <c r="J34" s="24">
        <v>5.0</v>
      </c>
      <c r="K34" s="25"/>
      <c r="L34" s="26">
        <f>H34*J34</f>
        <v>39.95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3" t="s">
        <v>65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5.1</v>
      </c>
      <c r="E36" s="21">
        <v>5.3</v>
      </c>
      <c r="F36" s="21"/>
      <c r="G36" s="22">
        <f>SUM(D36,E36,F36)</f>
        <v>10.4</v>
      </c>
      <c r="H36" s="23">
        <f>AVERAGE(D36,E36,F36)</f>
        <v>5.2</v>
      </c>
      <c r="I36" s="4"/>
      <c r="J36" s="24">
        <v>7.5</v>
      </c>
      <c r="K36" s="25"/>
      <c r="L36" s="26">
        <f>H36*J36</f>
        <v>39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178</v>
      </c>
      <c r="C37" s="29"/>
      <c r="D37" s="30" t="s">
        <v>61</v>
      </c>
      <c r="E37" s="34" t="s">
        <v>135</v>
      </c>
      <c r="F37" s="14" t="s">
        <v>63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17.0</v>
      </c>
      <c r="E38" s="21">
        <v>17.89</v>
      </c>
      <c r="F38" s="35"/>
      <c r="G38" s="22">
        <f>SUM(D38,E38,F38)</f>
        <v>34.89</v>
      </c>
      <c r="H38" s="23">
        <f>AVERAGE(D38,E38,F38)</f>
        <v>17.445</v>
      </c>
      <c r="I38" s="4"/>
      <c r="J38" s="24">
        <v>3.0</v>
      </c>
      <c r="K38" s="25"/>
      <c r="L38" s="26">
        <f>H38*J38</f>
        <v>52.335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0" t="s">
        <v>48</v>
      </c>
      <c r="E39" s="34" t="s">
        <v>136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3.69</v>
      </c>
      <c r="E40" s="21">
        <v>3.8</v>
      </c>
      <c r="F40" s="21"/>
      <c r="G40" s="22">
        <f>SUM(D40,E40,F40)</f>
        <v>7.49</v>
      </c>
      <c r="H40" s="23">
        <f>AVERAGE(D40,E40,F40)</f>
        <v>3.745</v>
      </c>
      <c r="I40" s="4"/>
      <c r="J40" s="24">
        <v>4.0</v>
      </c>
      <c r="K40" s="25"/>
      <c r="L40" s="26">
        <f>H40*J40</f>
        <v>14.98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69</v>
      </c>
      <c r="E41" s="30" t="s">
        <v>70</v>
      </c>
      <c r="F41" s="14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2.99</v>
      </c>
      <c r="G42" s="22">
        <f>SUM(D42,E42,F42)</f>
        <v>2.99</v>
      </c>
      <c r="H42" s="23">
        <f>AVERAGE(D42,E42,F42)</f>
        <v>2.99</v>
      </c>
      <c r="I42" s="4"/>
      <c r="J42" s="24">
        <v>4.0</v>
      </c>
      <c r="K42" s="25"/>
      <c r="L42" s="26">
        <f>H42*J42</f>
        <v>11.96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4" t="s">
        <v>201</v>
      </c>
      <c r="E43" s="34" t="s">
        <v>202</v>
      </c>
      <c r="F43" s="14" t="s">
        <v>138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48.9</v>
      </c>
      <c r="E44" s="21"/>
      <c r="F44" s="21"/>
      <c r="G44" s="22">
        <f>SUM(D44,E44,F44)</f>
        <v>48.9</v>
      </c>
      <c r="H44" s="23">
        <f>AVERAGE(D44,E44,F44)</f>
        <v>48.9</v>
      </c>
      <c r="I44" s="4"/>
      <c r="J44" s="24">
        <v>3.0</v>
      </c>
      <c r="K44" s="25"/>
      <c r="L44" s="26">
        <f>H44*J44</f>
        <v>146.7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0" t="s">
        <v>77</v>
      </c>
      <c r="E45" s="34" t="s">
        <v>78</v>
      </c>
      <c r="F45" s="14" t="s">
        <v>139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39.6</v>
      </c>
      <c r="E46" s="21">
        <v>26.8</v>
      </c>
      <c r="F46" s="21"/>
      <c r="G46" s="22">
        <f>SUM(D46,E46,F46)</f>
        <v>66.4</v>
      </c>
      <c r="H46" s="23">
        <f>AVERAGE(D46,E46,F46)</f>
        <v>33.2</v>
      </c>
      <c r="I46" s="4"/>
      <c r="J46" s="24">
        <v>4.0</v>
      </c>
      <c r="K46" s="25"/>
      <c r="L46" s="26">
        <f>H46*J46</f>
        <v>132.8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0" t="s">
        <v>84</v>
      </c>
      <c r="E47" s="30" t="s">
        <v>82</v>
      </c>
      <c r="F47" s="13" t="s">
        <v>203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8.99</v>
      </c>
      <c r="E48" s="35"/>
      <c r="F48" s="21"/>
      <c r="G48" s="22">
        <f>SUM(D48,E48,F48)</f>
        <v>8.99</v>
      </c>
      <c r="H48" s="23">
        <f>AVERAGE(D48,E48,F48)</f>
        <v>8.99</v>
      </c>
      <c r="I48" s="4"/>
      <c r="J48" s="24">
        <v>5.0</v>
      </c>
      <c r="K48" s="25"/>
      <c r="L48" s="26">
        <f>H48*J48</f>
        <v>44.95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0" t="s">
        <v>84</v>
      </c>
      <c r="E49" s="30" t="s">
        <v>82</v>
      </c>
      <c r="F49" s="13" t="s">
        <v>204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11.2</v>
      </c>
      <c r="E50" s="21">
        <v>12.0</v>
      </c>
      <c r="F50" s="21"/>
      <c r="G50" s="22">
        <f>SUM(D50,E50,F50)</f>
        <v>23.2</v>
      </c>
      <c r="H50" s="23">
        <f>AVERAGE(D50,E50,F50)</f>
        <v>11.6</v>
      </c>
      <c r="I50" s="4"/>
      <c r="J50" s="24">
        <v>0.5</v>
      </c>
      <c r="K50" s="25"/>
      <c r="L50" s="26">
        <f>H50*J50</f>
        <v>5.8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0" t="s">
        <v>84</v>
      </c>
      <c r="E51" s="30" t="s">
        <v>82</v>
      </c>
      <c r="F51" s="13" t="s">
        <v>205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14.9</v>
      </c>
      <c r="E52" s="21">
        <v>16.3</v>
      </c>
      <c r="F52" s="21"/>
      <c r="G52" s="22">
        <f>SUM(D52,E52,F52)</f>
        <v>31.2</v>
      </c>
      <c r="H52" s="23">
        <f>AVERAGE(D52,E52,F52)</f>
        <v>15.6</v>
      </c>
      <c r="I52" s="4"/>
      <c r="J52" s="24">
        <v>0.3</v>
      </c>
      <c r="K52" s="25"/>
      <c r="L52" s="26">
        <f>H52*J52</f>
        <v>4.68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0" t="s">
        <v>89</v>
      </c>
      <c r="E53" s="34" t="s">
        <v>170</v>
      </c>
      <c r="F53" s="14" t="s">
        <v>143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48.0</v>
      </c>
      <c r="E54" s="21"/>
      <c r="F54" s="21"/>
      <c r="G54" s="22">
        <f>SUM(D54,E54,F54)</f>
        <v>48</v>
      </c>
      <c r="H54" s="23">
        <f>AVERAGE(D54,E54,F54)</f>
        <v>48</v>
      </c>
      <c r="I54" s="4"/>
      <c r="J54" s="37">
        <v>0.5</v>
      </c>
      <c r="K54" s="38"/>
      <c r="L54" s="26">
        <f>H54*J54</f>
        <v>24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106</v>
      </c>
      <c r="B55" s="32"/>
      <c r="C55" s="32"/>
      <c r="D55" s="32"/>
      <c r="E55" s="32"/>
      <c r="F55" s="32"/>
      <c r="G55" s="40"/>
      <c r="H55" s="41">
        <f>SUM(H4:H54)</f>
        <v>377.7</v>
      </c>
      <c r="I55" s="42"/>
      <c r="J55" s="43" t="s">
        <v>6</v>
      </c>
      <c r="K55" s="40"/>
      <c r="L55" s="44">
        <f>SUM(L4:L54)</f>
        <v>1060.735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144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206</v>
      </c>
      <c r="C57" s="29"/>
      <c r="D57" s="30" t="s">
        <v>94</v>
      </c>
      <c r="E57" s="30" t="s">
        <v>95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6.99</v>
      </c>
      <c r="E58" s="21"/>
      <c r="F58" s="21"/>
      <c r="G58" s="22">
        <f>SUM(D58,E58,F58)</f>
        <v>6.99</v>
      </c>
      <c r="H58" s="23">
        <f>AVERAGE(D58,E58,F58)</f>
        <v>6.99</v>
      </c>
      <c r="I58" s="4"/>
      <c r="J58" s="24">
        <v>4.0</v>
      </c>
      <c r="K58" s="25"/>
      <c r="L58" s="26">
        <f>H58*J58</f>
        <v>27.96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0" t="s">
        <v>99</v>
      </c>
      <c r="E59" s="30" t="s">
        <v>104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4.79</v>
      </c>
      <c r="E60" s="21">
        <v>4.79</v>
      </c>
      <c r="F60" s="35"/>
      <c r="G60" s="22">
        <f>SUM(D60,E60,F60)</f>
        <v>9.58</v>
      </c>
      <c r="H60" s="23">
        <f>AVERAGE(D60,E60,F60)</f>
        <v>4.79</v>
      </c>
      <c r="I60" s="4"/>
      <c r="J60" s="24">
        <v>15.0</v>
      </c>
      <c r="K60" s="25"/>
      <c r="L60" s="26">
        <f>H60*J60</f>
        <v>71.85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148</v>
      </c>
      <c r="F61" s="13" t="s">
        <v>149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4.49</v>
      </c>
      <c r="E62" s="21">
        <v>4.49</v>
      </c>
      <c r="F62" s="21"/>
      <c r="G62" s="22">
        <f>SUM(D62,E62,F62)</f>
        <v>8.98</v>
      </c>
      <c r="H62" s="23">
        <f>AVERAGE(D62,E62,F62)</f>
        <v>4.49</v>
      </c>
      <c r="I62" s="4"/>
      <c r="J62" s="24">
        <v>2.0</v>
      </c>
      <c r="K62" s="25"/>
      <c r="L62" s="26">
        <f>H62*J62</f>
        <v>8.98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4" t="s">
        <v>207</v>
      </c>
      <c r="F63" s="13" t="s">
        <v>105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2.79</v>
      </c>
      <c r="E64" s="21">
        <v>2.79</v>
      </c>
      <c r="F64" s="21"/>
      <c r="G64" s="22">
        <f>SUM(D64,E64,F64)</f>
        <v>5.58</v>
      </c>
      <c r="H64" s="23">
        <f>AVERAGE(D64,E64,F64)</f>
        <v>2.79</v>
      </c>
      <c r="I64" s="4"/>
      <c r="J64" s="24">
        <v>2.0</v>
      </c>
      <c r="K64" s="25"/>
      <c r="L64" s="26">
        <f>H64*J64</f>
        <v>5.58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9" t="s">
        <v>106</v>
      </c>
      <c r="B65" s="32"/>
      <c r="C65" s="32"/>
      <c r="D65" s="32"/>
      <c r="E65" s="32"/>
      <c r="F65" s="32"/>
      <c r="G65" s="40"/>
      <c r="H65" s="41">
        <f>SUM(H57:H64)</f>
        <v>19.06</v>
      </c>
      <c r="I65" s="42"/>
      <c r="J65" s="43" t="s">
        <v>6</v>
      </c>
      <c r="K65" s="40"/>
      <c r="L65" s="44">
        <f>SUM(L57:L64)</f>
        <v>114.37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0" t="s">
        <v>109</v>
      </c>
      <c r="E67" s="34" t="s">
        <v>208</v>
      </c>
      <c r="F67" s="14" t="s">
        <v>150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7.1</v>
      </c>
      <c r="E68" s="21"/>
      <c r="F68" s="21">
        <v>7.79</v>
      </c>
      <c r="G68" s="22">
        <f>SUM(D68,E68,F68)</f>
        <v>14.89</v>
      </c>
      <c r="H68" s="23">
        <f>AVERAGE(D68,E68,F68)</f>
        <v>7.445</v>
      </c>
      <c r="I68" s="4"/>
      <c r="J68" s="24">
        <v>3.0</v>
      </c>
      <c r="K68" s="25"/>
      <c r="L68" s="26">
        <f>H68*J68</f>
        <v>22.335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0" t="s">
        <v>113</v>
      </c>
      <c r="E69" s="30" t="s">
        <v>114</v>
      </c>
      <c r="F69" s="14" t="s">
        <v>33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5.59</v>
      </c>
      <c r="E70" s="21">
        <v>4.99</v>
      </c>
      <c r="F70" s="35"/>
      <c r="G70" s="22">
        <f>SUM(D70,E70,F70)</f>
        <v>10.58</v>
      </c>
      <c r="H70" s="23">
        <f>AVERAGE(D70,E70,F70)</f>
        <v>5.29</v>
      </c>
      <c r="I70" s="4"/>
      <c r="J70" s="24">
        <v>2.0</v>
      </c>
      <c r="K70" s="25"/>
      <c r="L70" s="26">
        <f>H70*J70</f>
        <v>10.58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115</v>
      </c>
      <c r="C71" s="29"/>
      <c r="D71" s="30" t="s">
        <v>116</v>
      </c>
      <c r="E71" s="30" t="s">
        <v>117</v>
      </c>
      <c r="F71" s="13" t="s">
        <v>191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2.99</v>
      </c>
      <c r="E72" s="21">
        <v>2.99</v>
      </c>
      <c r="F72" s="21"/>
      <c r="G72" s="22">
        <f>SUM(D72,E72,F72)</f>
        <v>5.98</v>
      </c>
      <c r="H72" s="23">
        <f>AVERAGE(D72,E72,F72)</f>
        <v>2.99</v>
      </c>
      <c r="I72" s="4"/>
      <c r="J72" s="24">
        <v>10.0</v>
      </c>
      <c r="K72" s="25"/>
      <c r="L72" s="26">
        <f>H72*J72</f>
        <v>29.9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121</v>
      </c>
      <c r="F73" s="13" t="s">
        <v>209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16.39</v>
      </c>
      <c r="E74" s="21">
        <v>12.0</v>
      </c>
      <c r="F74" s="21"/>
      <c r="G74" s="22">
        <f>SUM(D74,E74,F74)</f>
        <v>28.39</v>
      </c>
      <c r="H74" s="23">
        <f>AVERAGE(D74,E74,F74)</f>
        <v>14.195</v>
      </c>
      <c r="I74" s="4"/>
      <c r="J74" s="24">
        <v>2.0</v>
      </c>
      <c r="K74" s="25"/>
      <c r="L74" s="26">
        <f>H74*J74</f>
        <v>28.39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4" t="s">
        <v>124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5.9</v>
      </c>
      <c r="E76" s="21"/>
      <c r="F76" s="35"/>
      <c r="G76" s="22">
        <f>SUM(D76,E76,F76)</f>
        <v>5.9</v>
      </c>
      <c r="H76" s="23">
        <f>AVERAGE(D76,E76,F76)</f>
        <v>5.9</v>
      </c>
      <c r="I76" s="4"/>
      <c r="J76" s="24">
        <v>1.0</v>
      </c>
      <c r="K76" s="25"/>
      <c r="L76" s="26">
        <f>H76*J76</f>
        <v>5.9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35.82</v>
      </c>
      <c r="I77" s="42"/>
      <c r="J77" s="43" t="s">
        <v>6</v>
      </c>
      <c r="K77" s="40"/>
      <c r="L77" s="49">
        <f>SUM(L68:L76)</f>
        <v>97.105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432.58</v>
      </c>
      <c r="I80" s="4"/>
      <c r="J80" s="4"/>
      <c r="K80" s="54" t="s">
        <v>6</v>
      </c>
      <c r="L80" s="49">
        <f>L55+L65+L77</f>
        <v>1272.21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210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211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32.9</v>
      </c>
      <c r="E4" s="21">
        <v>28.99</v>
      </c>
      <c r="F4" s="21"/>
      <c r="G4" s="22">
        <f>SUM(D4,E4,F4)</f>
        <v>61.89</v>
      </c>
      <c r="H4" s="23">
        <f>AVERAGE(D4,E4,F4)</f>
        <v>30.945</v>
      </c>
      <c r="I4" s="16"/>
      <c r="J4" s="24">
        <v>3.0</v>
      </c>
      <c r="K4" s="25" t="s">
        <v>11</v>
      </c>
      <c r="L4" s="26">
        <f>H4*J4</f>
        <v>92.835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4" t="s">
        <v>212</v>
      </c>
      <c r="F5" s="14" t="s">
        <v>127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5.99</v>
      </c>
      <c r="E6" s="21">
        <v>5.8</v>
      </c>
      <c r="F6" s="21"/>
      <c r="G6" s="22">
        <f>SUM(D6,E6,F6)</f>
        <v>11.79</v>
      </c>
      <c r="H6" s="23">
        <f>AVERAGE(D6,E6,F6)</f>
        <v>5.895</v>
      </c>
      <c r="I6" s="16"/>
      <c r="J6" s="24">
        <v>4.0</v>
      </c>
      <c r="K6" s="25"/>
      <c r="L6" s="26">
        <f>H6*J6</f>
        <v>23.58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129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16.9</v>
      </c>
      <c r="E8" s="35"/>
      <c r="F8" s="35"/>
      <c r="G8" s="22">
        <f>SUM(D8,E8,F8)</f>
        <v>16.9</v>
      </c>
      <c r="H8" s="23">
        <f>AVERAGE(D8,E8,F8)</f>
        <v>16.9</v>
      </c>
      <c r="I8" s="16"/>
      <c r="J8" s="24">
        <v>2.0</v>
      </c>
      <c r="K8" s="25"/>
      <c r="L8" s="26">
        <f>H8*J8</f>
        <v>33.8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0" t="s">
        <v>21</v>
      </c>
      <c r="F9" s="14" t="s">
        <v>130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24.89</v>
      </c>
      <c r="E10" s="21">
        <v>25.0</v>
      </c>
      <c r="F10" s="21"/>
      <c r="G10" s="22">
        <f>SUM(D10,E10,F10)</f>
        <v>49.89</v>
      </c>
      <c r="H10" s="23">
        <f>AVERAGE(D10,E10,F10)</f>
        <v>24.945</v>
      </c>
      <c r="I10" s="16"/>
      <c r="J10" s="24">
        <v>3.0</v>
      </c>
      <c r="K10" s="25"/>
      <c r="L10" s="26">
        <f>H10*J10</f>
        <v>74.835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0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6.0</v>
      </c>
      <c r="E12" s="21">
        <v>6.15</v>
      </c>
      <c r="F12" s="21"/>
      <c r="G12" s="22">
        <f>SUM(D12,E12,F12)</f>
        <v>12.15</v>
      </c>
      <c r="H12" s="23">
        <f>AVERAGE(D12,E12,F12)</f>
        <v>6.075</v>
      </c>
      <c r="I12" s="16"/>
      <c r="J12" s="24">
        <v>3.0</v>
      </c>
      <c r="K12" s="25"/>
      <c r="L12" s="26">
        <f>H12*J12</f>
        <v>18.225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4" t="s">
        <v>3</v>
      </c>
      <c r="E13" s="34" t="s">
        <v>174</v>
      </c>
      <c r="F13" s="14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21">
        <v>5.99</v>
      </c>
      <c r="F14" s="21">
        <v>8.0</v>
      </c>
      <c r="G14" s="22">
        <f>SUM(D14,E14,F14)</f>
        <v>13.99</v>
      </c>
      <c r="H14" s="23">
        <f>AVERAGE(D14,E14,F14)</f>
        <v>6.995</v>
      </c>
      <c r="I14" s="16"/>
      <c r="J14" s="24">
        <v>1.0</v>
      </c>
      <c r="K14" s="25"/>
      <c r="L14" s="26">
        <f>H14*J14</f>
        <v>6.995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0" t="s">
        <v>33</v>
      </c>
      <c r="F15" s="14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5.8</v>
      </c>
      <c r="E16" s="35"/>
      <c r="F16" s="35"/>
      <c r="G16" s="22">
        <f>SUM(D16,E16,F16)</f>
        <v>5.8</v>
      </c>
      <c r="H16" s="23">
        <f>AVERAGE(D16,E16,F16)</f>
        <v>5.8</v>
      </c>
      <c r="I16" s="16"/>
      <c r="J16" s="24">
        <v>4.0</v>
      </c>
      <c r="K16" s="25"/>
      <c r="L16" s="26">
        <f>H16*J16</f>
        <v>23.2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4.0</v>
      </c>
      <c r="E18" s="35"/>
      <c r="F18" s="35"/>
      <c r="G18" s="22">
        <f>SUM(D18,E18,F18)</f>
        <v>4</v>
      </c>
      <c r="H18" s="23">
        <f>AVERAGE(D18,E18,F18)</f>
        <v>4</v>
      </c>
      <c r="I18" s="16"/>
      <c r="J18" s="24">
        <v>1.0</v>
      </c>
      <c r="K18" s="25"/>
      <c r="L18" s="26">
        <f>H18*J18</f>
        <v>4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6.99</v>
      </c>
      <c r="E20" s="35"/>
      <c r="F20" s="35"/>
      <c r="G20" s="22">
        <f>SUM(D20,E20,F20)</f>
        <v>6.99</v>
      </c>
      <c r="H20" s="23">
        <f>AVERAGE(D20,E20,F20)</f>
        <v>6.99</v>
      </c>
      <c r="I20" s="16"/>
      <c r="J20" s="24">
        <v>9.0</v>
      </c>
      <c r="K20" s="25"/>
      <c r="L20" s="26">
        <f>H20*J20</f>
        <v>62.91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4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28.96</v>
      </c>
      <c r="E22" s="35"/>
      <c r="F22" s="35"/>
      <c r="G22" s="22">
        <f>SUM(D22,E22,F22)</f>
        <v>28.96</v>
      </c>
      <c r="H22" s="23">
        <f>AVERAGE(D22,E22,F22)</f>
        <v>28.96</v>
      </c>
      <c r="I22" s="16"/>
      <c r="J22" s="24">
        <v>0.2</v>
      </c>
      <c r="K22" s="25"/>
      <c r="L22" s="26">
        <f>H22*J22</f>
        <v>5.792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9.0</v>
      </c>
      <c r="E24" s="21">
        <v>9.8</v>
      </c>
      <c r="F24" s="35"/>
      <c r="G24" s="22">
        <f>SUM(D24,E24,F24)</f>
        <v>18.8</v>
      </c>
      <c r="H24" s="23">
        <f>AVERAGE(D24,E24,F24)</f>
        <v>9.4</v>
      </c>
      <c r="I24" s="4"/>
      <c r="J24" s="24">
        <v>3.0</v>
      </c>
      <c r="K24" s="25"/>
      <c r="L24" s="26">
        <f>H24*J24</f>
        <v>28.2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4" t="s">
        <v>213</v>
      </c>
      <c r="E25" s="30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/>
      <c r="E26" s="35"/>
      <c r="F26" s="21">
        <v>4.89</v>
      </c>
      <c r="G26" s="22">
        <f>SUM(D26,E26,F26)</f>
        <v>4.89</v>
      </c>
      <c r="H26" s="23">
        <f>AVERAGE(D26,E26,F26)</f>
        <v>4.89</v>
      </c>
      <c r="I26" s="4"/>
      <c r="J26" s="24">
        <v>4.0</v>
      </c>
      <c r="K26" s="25"/>
      <c r="L26" s="26">
        <f>H26*J26</f>
        <v>19.56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28" t="s">
        <v>47</v>
      </c>
      <c r="C27" s="29"/>
      <c r="D27" s="30" t="s">
        <v>48</v>
      </c>
      <c r="E27" s="34" t="s">
        <v>90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35"/>
      <c r="E28" s="21">
        <v>3.2</v>
      </c>
      <c r="F28" s="21">
        <v>3.99</v>
      </c>
      <c r="G28" s="22">
        <f>SUM(D28,E28,F28)</f>
        <v>7.19</v>
      </c>
      <c r="H28" s="23">
        <f>AVERAGE(D28,E28,F28)</f>
        <v>3.595</v>
      </c>
      <c r="I28" s="4"/>
      <c r="J28" s="24">
        <v>2.0</v>
      </c>
      <c r="K28" s="25"/>
      <c r="L28" s="26">
        <f>H28*J28</f>
        <v>7.19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13.3</v>
      </c>
      <c r="E30" s="35"/>
      <c r="F30" s="35"/>
      <c r="G30" s="22">
        <f>SUM(D30,E30,F30)</f>
        <v>13.3</v>
      </c>
      <c r="H30" s="23">
        <f>AVERAGE(D30,E30,F30)</f>
        <v>13.3</v>
      </c>
      <c r="I30" s="4"/>
      <c r="J30" s="24">
        <v>6.0</v>
      </c>
      <c r="K30" s="25"/>
      <c r="L30" s="26">
        <f>H30*J30</f>
        <v>79.8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0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2.99</v>
      </c>
      <c r="E32" s="21"/>
      <c r="F32" s="35"/>
      <c r="G32" s="22">
        <f>SUM(D32,E32,F32)</f>
        <v>2.99</v>
      </c>
      <c r="H32" s="23">
        <f>AVERAGE(D32,E32,F32)</f>
        <v>2.99</v>
      </c>
      <c r="I32" s="4"/>
      <c r="J32" s="24">
        <v>7.5</v>
      </c>
      <c r="K32" s="25"/>
      <c r="L32" s="26">
        <f>H32*J32</f>
        <v>22.425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0" t="s">
        <v>57</v>
      </c>
      <c r="E33" s="30" t="s">
        <v>134</v>
      </c>
      <c r="F33" s="14" t="s">
        <v>59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8.15</v>
      </c>
      <c r="E34" s="35"/>
      <c r="F34" s="35"/>
      <c r="G34" s="22">
        <f>SUM(D34,E34,F34)</f>
        <v>8.15</v>
      </c>
      <c r="H34" s="23">
        <f>AVERAGE(D34,E34,F34)</f>
        <v>8.15</v>
      </c>
      <c r="I34" s="4"/>
      <c r="J34" s="24">
        <v>5.0</v>
      </c>
      <c r="K34" s="25"/>
      <c r="L34" s="26">
        <f>H34*J34</f>
        <v>40.75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4" t="s">
        <v>63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6.49</v>
      </c>
      <c r="E36" s="21">
        <v>6.49</v>
      </c>
      <c r="F36" s="35"/>
      <c r="G36" s="22">
        <f>SUM(D36,E36,F36)</f>
        <v>12.98</v>
      </c>
      <c r="H36" s="23">
        <f>AVERAGE(D36,E36,F36)</f>
        <v>6.49</v>
      </c>
      <c r="I36" s="4"/>
      <c r="J36" s="24">
        <v>7.5</v>
      </c>
      <c r="K36" s="25"/>
      <c r="L36" s="26">
        <f>H36*J36</f>
        <v>48.675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178</v>
      </c>
      <c r="C37" s="29"/>
      <c r="D37" s="30" t="s">
        <v>61</v>
      </c>
      <c r="E37" s="34" t="s">
        <v>214</v>
      </c>
      <c r="F37" s="13" t="s">
        <v>215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18.0</v>
      </c>
      <c r="E38" s="21"/>
      <c r="F38" s="21"/>
      <c r="G38" s="22">
        <f>SUM(D38,E38,F38)</f>
        <v>18</v>
      </c>
      <c r="H38" s="23">
        <f>AVERAGE(D38,E38,F38)</f>
        <v>18</v>
      </c>
      <c r="I38" s="4"/>
      <c r="J38" s="24">
        <v>3.0</v>
      </c>
      <c r="K38" s="25"/>
      <c r="L38" s="26">
        <f>H38*J38</f>
        <v>54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0" t="s">
        <v>48</v>
      </c>
      <c r="E39" s="34" t="s">
        <v>216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7.49</v>
      </c>
      <c r="E40" s="21">
        <v>7.49</v>
      </c>
      <c r="F40" s="21"/>
      <c r="G40" s="22">
        <f>SUM(D40,E40,F40)</f>
        <v>14.98</v>
      </c>
      <c r="H40" s="23">
        <f>AVERAGE(D40,E40,F40)</f>
        <v>7.49</v>
      </c>
      <c r="I40" s="4"/>
      <c r="J40" s="24">
        <v>4.0</v>
      </c>
      <c r="K40" s="25"/>
      <c r="L40" s="26">
        <f>H40*J40</f>
        <v>29.96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69</v>
      </c>
      <c r="E41" s="30" t="s">
        <v>70</v>
      </c>
      <c r="F41" s="13" t="s">
        <v>217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3.99</v>
      </c>
      <c r="G42" s="22">
        <f>SUM(D42,E42,F42)</f>
        <v>3.99</v>
      </c>
      <c r="H42" s="23">
        <f>AVERAGE(D42,E42,F42)</f>
        <v>3.99</v>
      </c>
      <c r="I42" s="4"/>
      <c r="J42" s="24">
        <v>4.0</v>
      </c>
      <c r="K42" s="25"/>
      <c r="L42" s="26">
        <f>H42*J42</f>
        <v>15.96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0" t="s">
        <v>73</v>
      </c>
      <c r="E43" s="34" t="s">
        <v>218</v>
      </c>
      <c r="F43" s="14" t="s">
        <v>138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45.0</v>
      </c>
      <c r="E44" s="21">
        <v>42.98</v>
      </c>
      <c r="F44" s="21"/>
      <c r="G44" s="22">
        <f>SUM(D44,E44,F44)</f>
        <v>87.98</v>
      </c>
      <c r="H44" s="23">
        <f>AVERAGE(D44,E44,F44)</f>
        <v>43.99</v>
      </c>
      <c r="I44" s="4"/>
      <c r="J44" s="24">
        <v>3.0</v>
      </c>
      <c r="K44" s="25"/>
      <c r="L44" s="26">
        <f>H44*J44</f>
        <v>131.97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4" t="s">
        <v>219</v>
      </c>
      <c r="E45" s="30" t="s">
        <v>78</v>
      </c>
      <c r="F45" s="14" t="s">
        <v>139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38.0</v>
      </c>
      <c r="E46" s="21">
        <v>28.0</v>
      </c>
      <c r="F46" s="35"/>
      <c r="G46" s="22">
        <f>SUM(D46,E46,F46)</f>
        <v>66</v>
      </c>
      <c r="H46" s="23">
        <f>AVERAGE(D46,E46,F46)</f>
        <v>33</v>
      </c>
      <c r="I46" s="4"/>
      <c r="J46" s="24">
        <v>4.0</v>
      </c>
      <c r="K46" s="25"/>
      <c r="L46" s="26">
        <f>H46*J46</f>
        <v>132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0" t="s">
        <v>84</v>
      </c>
      <c r="E47" s="30" t="s">
        <v>82</v>
      </c>
      <c r="F47" s="13" t="s">
        <v>220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11.0</v>
      </c>
      <c r="E48" s="21">
        <v>10.9</v>
      </c>
      <c r="F48" s="21"/>
      <c r="G48" s="22">
        <f>SUM(D48,E48,F48)</f>
        <v>21.9</v>
      </c>
      <c r="H48" s="23">
        <f>AVERAGE(D48,E48,F48)</f>
        <v>10.95</v>
      </c>
      <c r="I48" s="4"/>
      <c r="J48" s="24">
        <v>5.0</v>
      </c>
      <c r="K48" s="25"/>
      <c r="L48" s="26">
        <f>H48*J48</f>
        <v>54.75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4" t="s">
        <v>167</v>
      </c>
      <c r="E49" s="30" t="s">
        <v>82</v>
      </c>
      <c r="F49" s="13" t="s">
        <v>140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8.9</v>
      </c>
      <c r="E50" s="35"/>
      <c r="F50" s="21"/>
      <c r="G50" s="22">
        <f>SUM(D50,E50,F50)</f>
        <v>8.9</v>
      </c>
      <c r="H50" s="23">
        <f>AVERAGE(D50,E50,F50)</f>
        <v>8.9</v>
      </c>
      <c r="I50" s="4"/>
      <c r="J50" s="24">
        <v>0.5</v>
      </c>
      <c r="K50" s="25"/>
      <c r="L50" s="26">
        <f>H50*J50</f>
        <v>4.45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4" t="s">
        <v>140</v>
      </c>
      <c r="E51" s="30" t="s">
        <v>82</v>
      </c>
      <c r="F51" s="14" t="s">
        <v>141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18.0</v>
      </c>
      <c r="E52" s="35"/>
      <c r="F52" s="21"/>
      <c r="G52" s="22">
        <f>SUM(D52,E52,F52)</f>
        <v>18</v>
      </c>
      <c r="H52" s="23">
        <f>AVERAGE(D52,E52,F52)</f>
        <v>18</v>
      </c>
      <c r="I52" s="4"/>
      <c r="J52" s="24">
        <v>0.3</v>
      </c>
      <c r="K52" s="25"/>
      <c r="L52" s="26">
        <f>H52*J52</f>
        <v>5.4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0" t="s">
        <v>89</v>
      </c>
      <c r="E53" s="30" t="s">
        <v>90</v>
      </c>
      <c r="F53" s="13" t="s">
        <v>168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58.0</v>
      </c>
      <c r="E54" s="21"/>
      <c r="F54" s="21"/>
      <c r="G54" s="22">
        <f>SUM(D54,E54,F54)</f>
        <v>58</v>
      </c>
      <c r="H54" s="23">
        <f>AVERAGE(D54,E54,F54)</f>
        <v>58</v>
      </c>
      <c r="I54" s="4"/>
      <c r="J54" s="37">
        <v>0.5</v>
      </c>
      <c r="K54" s="38"/>
      <c r="L54" s="26">
        <f>H54*J54</f>
        <v>29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106</v>
      </c>
      <c r="B55" s="32"/>
      <c r="C55" s="32"/>
      <c r="D55" s="32"/>
      <c r="E55" s="32"/>
      <c r="F55" s="32"/>
      <c r="G55" s="40"/>
      <c r="H55" s="41">
        <f>SUM(H4:H54)</f>
        <v>388.64</v>
      </c>
      <c r="I55" s="42"/>
      <c r="J55" s="43" t="s">
        <v>6</v>
      </c>
      <c r="K55" s="40"/>
      <c r="L55" s="44">
        <f>SUM(L4:L54)</f>
        <v>1050.262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144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185</v>
      </c>
      <c r="C57" s="29"/>
      <c r="D57" s="30" t="s">
        <v>94</v>
      </c>
      <c r="E57" s="30" t="s">
        <v>95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6.9</v>
      </c>
      <c r="E58" s="21">
        <v>6.9</v>
      </c>
      <c r="F58" s="35"/>
      <c r="G58" s="22">
        <f>SUM(D58,E58,F58)</f>
        <v>13.8</v>
      </c>
      <c r="H58" s="23">
        <f>AVERAGE(D58,E58,F58)</f>
        <v>6.9</v>
      </c>
      <c r="I58" s="4"/>
      <c r="J58" s="24">
        <v>4.0</v>
      </c>
      <c r="K58" s="25"/>
      <c r="L58" s="26">
        <f>H58*J58</f>
        <v>27.6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0" t="s">
        <v>99</v>
      </c>
      <c r="E59" s="30" t="s">
        <v>104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5.25</v>
      </c>
      <c r="E60" s="21"/>
      <c r="F60" s="35"/>
      <c r="G60" s="22">
        <f>SUM(D60,E60,F60)</f>
        <v>5.25</v>
      </c>
      <c r="H60" s="23">
        <f>AVERAGE(D60,E60,F60)</f>
        <v>5.25</v>
      </c>
      <c r="I60" s="4"/>
      <c r="J60" s="24">
        <v>15.0</v>
      </c>
      <c r="K60" s="25"/>
      <c r="L60" s="26">
        <f>H60*J60</f>
        <v>78.75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147</v>
      </c>
      <c r="F61" s="14" t="s">
        <v>148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/>
      <c r="E62" s="21">
        <v>4.96</v>
      </c>
      <c r="F62" s="21"/>
      <c r="G62" s="22">
        <f>SUM(D62,E62,F62)</f>
        <v>4.96</v>
      </c>
      <c r="H62" s="23">
        <f>AVERAGE(D62,E62,F62)</f>
        <v>4.96</v>
      </c>
      <c r="I62" s="4"/>
      <c r="J62" s="24">
        <v>2.0</v>
      </c>
      <c r="K62" s="25"/>
      <c r="L62" s="26">
        <f>H62*J62</f>
        <v>9.92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0" t="s">
        <v>104</v>
      </c>
      <c r="F63" s="13" t="s">
        <v>162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2.76</v>
      </c>
      <c r="E64" s="21">
        <v>2.76</v>
      </c>
      <c r="F64" s="21"/>
      <c r="G64" s="22">
        <f>SUM(D64,E64,F64)</f>
        <v>5.52</v>
      </c>
      <c r="H64" s="23">
        <f>AVERAGE(D64,E64,F64)</f>
        <v>2.76</v>
      </c>
      <c r="I64" s="4"/>
      <c r="J64" s="24">
        <v>2.0</v>
      </c>
      <c r="K64" s="25"/>
      <c r="L64" s="26">
        <f>H64*J64</f>
        <v>5.52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>
        <f>SUM(H57:H64)</f>
        <v>19.87</v>
      </c>
      <c r="I65" s="42"/>
      <c r="J65" s="43" t="s">
        <v>6</v>
      </c>
      <c r="K65" s="40"/>
      <c r="L65" s="44">
        <f>SUM(L57:L64)</f>
        <v>121.79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4" t="s">
        <v>149</v>
      </c>
      <c r="E67" s="34" t="s">
        <v>221</v>
      </c>
      <c r="F67" s="14" t="s">
        <v>150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/>
      <c r="E68" s="21">
        <v>9.89</v>
      </c>
      <c r="F68" s="21">
        <v>9.89</v>
      </c>
      <c r="G68" s="22">
        <f>SUM(D68,E68,F68)</f>
        <v>19.78</v>
      </c>
      <c r="H68" s="23">
        <f>AVERAGE(D68,E68,F68)</f>
        <v>9.89</v>
      </c>
      <c r="I68" s="4"/>
      <c r="J68" s="24">
        <v>3.0</v>
      </c>
      <c r="K68" s="25"/>
      <c r="L68" s="26">
        <f>H68*J68</f>
        <v>29.67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0" t="s">
        <v>113</v>
      </c>
      <c r="E69" s="30" t="s">
        <v>114</v>
      </c>
      <c r="F69" s="14" t="s">
        <v>33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13.89</v>
      </c>
      <c r="E70" s="21"/>
      <c r="F70" s="35"/>
      <c r="G70" s="22">
        <f>SUM(D70,E70,F70)</f>
        <v>13.89</v>
      </c>
      <c r="H70" s="23">
        <f>AVERAGE(D70,E70,F70)</f>
        <v>13.89</v>
      </c>
      <c r="I70" s="4"/>
      <c r="J70" s="24">
        <v>2.0</v>
      </c>
      <c r="K70" s="25"/>
      <c r="L70" s="26">
        <f>H70*J70</f>
        <v>27.78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115</v>
      </c>
      <c r="C71" s="29"/>
      <c r="D71" s="30" t="s">
        <v>116</v>
      </c>
      <c r="E71" s="34" t="s">
        <v>222</v>
      </c>
      <c r="F71" s="13" t="s">
        <v>118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2.96</v>
      </c>
      <c r="E72" s="21"/>
      <c r="F72" s="21"/>
      <c r="G72" s="22">
        <f>SUM(D72,E72,F72)</f>
        <v>2.96</v>
      </c>
      <c r="H72" s="23">
        <f>AVERAGE(D72,E72,F72)</f>
        <v>2.96</v>
      </c>
      <c r="I72" s="4"/>
      <c r="J72" s="24">
        <v>10.0</v>
      </c>
      <c r="K72" s="25"/>
      <c r="L72" s="26">
        <f>H72*J72</f>
        <v>29.6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121</v>
      </c>
      <c r="E73" s="34" t="s">
        <v>152</v>
      </c>
      <c r="F73" s="13" t="s">
        <v>223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19.89</v>
      </c>
      <c r="E74" s="21">
        <v>19.89</v>
      </c>
      <c r="F74" s="21"/>
      <c r="G74" s="22">
        <f>SUM(D74,E74,F74)</f>
        <v>39.78</v>
      </c>
      <c r="H74" s="23">
        <f>AVERAGE(D74,E74,F74)</f>
        <v>19.89</v>
      </c>
      <c r="I74" s="4"/>
      <c r="J74" s="24">
        <v>2.0</v>
      </c>
      <c r="K74" s="25"/>
      <c r="L74" s="26">
        <f>H74*J74</f>
        <v>39.78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4" t="s">
        <v>224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4.99</v>
      </c>
      <c r="E76" s="21"/>
      <c r="F76" s="35"/>
      <c r="G76" s="22">
        <f>SUM(D76,E76,F76)</f>
        <v>4.99</v>
      </c>
      <c r="H76" s="23">
        <f>AVERAGE(D76,E76,F76)</f>
        <v>4.99</v>
      </c>
      <c r="I76" s="4"/>
      <c r="J76" s="24">
        <v>1.0</v>
      </c>
      <c r="K76" s="25"/>
      <c r="L76" s="26">
        <f>H76*J76</f>
        <v>4.99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51.62</v>
      </c>
      <c r="I77" s="42"/>
      <c r="J77" s="43" t="s">
        <v>6</v>
      </c>
      <c r="K77" s="40"/>
      <c r="L77" s="49">
        <f>SUM(L68:L76)</f>
        <v>131.82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460.13</v>
      </c>
      <c r="I80" s="4"/>
      <c r="J80" s="4"/>
      <c r="K80" s="54" t="s">
        <v>6</v>
      </c>
      <c r="L80" s="49">
        <f>L55+L65+L77</f>
        <v>1303.872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06" t="s">
        <v>225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164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32.0</v>
      </c>
      <c r="E4" s="21">
        <v>32.0</v>
      </c>
      <c r="F4" s="21">
        <v>32.99</v>
      </c>
      <c r="G4" s="22">
        <f>SUM(D4,E4,F4)</f>
        <v>96.99</v>
      </c>
      <c r="H4" s="23">
        <f>AVERAGE(D4,E4,F4)</f>
        <v>32.33</v>
      </c>
      <c r="I4" s="16"/>
      <c r="J4" s="24">
        <v>3.0</v>
      </c>
      <c r="K4" s="25" t="s">
        <v>11</v>
      </c>
      <c r="L4" s="26">
        <f>H4*J4</f>
        <v>96.99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0" t="s">
        <v>3</v>
      </c>
      <c r="E5" s="30" t="s">
        <v>13</v>
      </c>
      <c r="F5" s="14" t="s">
        <v>127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6.49</v>
      </c>
      <c r="E6" s="35"/>
      <c r="F6" s="35"/>
      <c r="G6" s="22">
        <f>SUM(D6,E6,F6)</f>
        <v>6.49</v>
      </c>
      <c r="H6" s="23">
        <f>AVERAGE(D6,E6,F6)</f>
        <v>6.49</v>
      </c>
      <c r="I6" s="16"/>
      <c r="J6" s="24">
        <v>4.0</v>
      </c>
      <c r="K6" s="25"/>
      <c r="L6" s="26">
        <f>H6*J6</f>
        <v>25.96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0" t="s">
        <v>129</v>
      </c>
      <c r="F7" s="13" t="s">
        <v>226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21.9</v>
      </c>
      <c r="E8" s="35"/>
      <c r="F8" s="21"/>
      <c r="G8" s="22">
        <f>SUM(D8,E8,F8)</f>
        <v>21.9</v>
      </c>
      <c r="H8" s="23">
        <f>AVERAGE(D8,E8,F8)</f>
        <v>21.9</v>
      </c>
      <c r="I8" s="16"/>
      <c r="J8" s="24">
        <v>2.0</v>
      </c>
      <c r="K8" s="25"/>
      <c r="L8" s="26">
        <f>H8*J8</f>
        <v>43.8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0" t="s">
        <v>21</v>
      </c>
      <c r="F9" s="14" t="s">
        <v>130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>
        <v>25.0</v>
      </c>
      <c r="E10" s="21"/>
      <c r="F10" s="21"/>
      <c r="G10" s="22">
        <f>SUM(D10,E10,F10)</f>
        <v>25</v>
      </c>
      <c r="H10" s="23">
        <f>AVERAGE(D10,E10,F10)</f>
        <v>25</v>
      </c>
      <c r="I10" s="16"/>
      <c r="J10" s="24">
        <v>3.0</v>
      </c>
      <c r="K10" s="25"/>
      <c r="L10" s="26">
        <f>H10*J10</f>
        <v>75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0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5.49</v>
      </c>
      <c r="E12" s="21">
        <v>5.49</v>
      </c>
      <c r="F12" s="21"/>
      <c r="G12" s="22">
        <f>SUM(D12,E12,F12)</f>
        <v>10.98</v>
      </c>
      <c r="H12" s="23">
        <f>AVERAGE(D12,E12,F12)</f>
        <v>5.49</v>
      </c>
      <c r="I12" s="16"/>
      <c r="J12" s="24">
        <v>3.0</v>
      </c>
      <c r="K12" s="25"/>
      <c r="L12" s="26">
        <f>H12*J12</f>
        <v>16.47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0" t="s">
        <v>28</v>
      </c>
      <c r="E13" s="30" t="s">
        <v>133</v>
      </c>
      <c r="F13" s="14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21">
        <v>5.99</v>
      </c>
      <c r="F14" s="21">
        <v>6.99</v>
      </c>
      <c r="G14" s="22">
        <f>SUM(D14,E14,F14)</f>
        <v>12.98</v>
      </c>
      <c r="H14" s="23">
        <f>AVERAGE(D14,E14,F14)</f>
        <v>6.49</v>
      </c>
      <c r="I14" s="16"/>
      <c r="J14" s="24">
        <v>1.0</v>
      </c>
      <c r="K14" s="25"/>
      <c r="L14" s="26">
        <f>H14*J14</f>
        <v>6.49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0" t="s">
        <v>32</v>
      </c>
      <c r="E15" s="30" t="s">
        <v>33</v>
      </c>
      <c r="F15" s="13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6.9</v>
      </c>
      <c r="E16" s="35"/>
      <c r="F16" s="35"/>
      <c r="G16" s="22">
        <f>SUM(D16,E16,F16)</f>
        <v>6.9</v>
      </c>
      <c r="H16" s="23">
        <f>AVERAGE(D16,E16,F16)</f>
        <v>6.9</v>
      </c>
      <c r="I16" s="16"/>
      <c r="J16" s="24">
        <v>4.0</v>
      </c>
      <c r="K16" s="25"/>
      <c r="L16" s="26">
        <f>H16*J16</f>
        <v>27.6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5.38</v>
      </c>
      <c r="E18" s="35"/>
      <c r="F18" s="35"/>
      <c r="G18" s="22">
        <f>SUM(D18,E18,F18)</f>
        <v>5.38</v>
      </c>
      <c r="H18" s="23">
        <f>AVERAGE(D18,E18,F18)</f>
        <v>5.38</v>
      </c>
      <c r="I18" s="16"/>
      <c r="J18" s="24">
        <v>1.0</v>
      </c>
      <c r="K18" s="25"/>
      <c r="L18" s="26">
        <f>H18*J18</f>
        <v>5.38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7.89</v>
      </c>
      <c r="E20" s="35"/>
      <c r="F20" s="35"/>
      <c r="G20" s="22">
        <f>SUM(D20,E20,F20)</f>
        <v>7.89</v>
      </c>
      <c r="H20" s="23">
        <f>AVERAGE(D20,E20,F20)</f>
        <v>7.89</v>
      </c>
      <c r="I20" s="16"/>
      <c r="J20" s="24">
        <v>9.0</v>
      </c>
      <c r="K20" s="25"/>
      <c r="L20" s="26">
        <f>H20*J20</f>
        <v>71.01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0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37.99</v>
      </c>
      <c r="E22" s="35"/>
      <c r="F22" s="35"/>
      <c r="G22" s="22">
        <f>SUM(D22,E22,F22)</f>
        <v>37.99</v>
      </c>
      <c r="H22" s="23">
        <f>AVERAGE(D22,E22,F22)</f>
        <v>37.99</v>
      </c>
      <c r="I22" s="16"/>
      <c r="J22" s="24">
        <v>0.2</v>
      </c>
      <c r="K22" s="25"/>
      <c r="L22" s="26">
        <f>H22*J22</f>
        <v>7.598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10.15</v>
      </c>
      <c r="E24" s="35"/>
      <c r="F24" s="35"/>
      <c r="G24" s="22">
        <f>SUM(D24,E24,F24)</f>
        <v>10.15</v>
      </c>
      <c r="H24" s="23">
        <f>AVERAGE(D24,E24,F24)</f>
        <v>10.15</v>
      </c>
      <c r="I24" s="4"/>
      <c r="J24" s="24">
        <v>3.0</v>
      </c>
      <c r="K24" s="25"/>
      <c r="L24" s="26">
        <f>H24*J24</f>
        <v>30.45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0" t="s">
        <v>44</v>
      </c>
      <c r="E25" s="34" t="s">
        <v>227</v>
      </c>
      <c r="F25" s="13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>
        <v>5.99</v>
      </c>
      <c r="E26" s="21">
        <v>4.99</v>
      </c>
      <c r="F26" s="21">
        <v>5.38</v>
      </c>
      <c r="G26" s="22">
        <f>SUM(D26,E26,F26)</f>
        <v>16.36</v>
      </c>
      <c r="H26" s="23">
        <f>AVERAGE(D26,E26,F26)</f>
        <v>5.453333333</v>
      </c>
      <c r="I26" s="4"/>
      <c r="J26" s="24">
        <v>4.0</v>
      </c>
      <c r="K26" s="25"/>
      <c r="L26" s="26">
        <f>H26*J26</f>
        <v>21.81333333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28" t="s">
        <v>47</v>
      </c>
      <c r="C27" s="29"/>
      <c r="D27" s="30" t="s">
        <v>48</v>
      </c>
      <c r="E27" s="34" t="s">
        <v>49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35"/>
      <c r="E28" s="21"/>
      <c r="F28" s="21">
        <v>3.49</v>
      </c>
      <c r="G28" s="22">
        <f>SUM(D28,E28,F28)</f>
        <v>3.49</v>
      </c>
      <c r="H28" s="23">
        <f>AVERAGE(D28,E28,F28)</f>
        <v>3.49</v>
      </c>
      <c r="I28" s="4"/>
      <c r="J28" s="24">
        <v>2.0</v>
      </c>
      <c r="K28" s="25"/>
      <c r="L28" s="26">
        <f>H28*J28</f>
        <v>6.98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46" t="s">
        <v>228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14.9</v>
      </c>
      <c r="E30" s="35"/>
      <c r="F30" s="35"/>
      <c r="G30" s="22">
        <f>SUM(D30,E30,F30)</f>
        <v>14.9</v>
      </c>
      <c r="H30" s="23">
        <f>AVERAGE(D30,E30,F30)</f>
        <v>14.9</v>
      </c>
      <c r="I30" s="4"/>
      <c r="J30" s="24">
        <v>6.0</v>
      </c>
      <c r="K30" s="25"/>
      <c r="L30" s="26">
        <f>H30*J30</f>
        <v>89.4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4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3.99</v>
      </c>
      <c r="E32" s="21"/>
      <c r="F32" s="35"/>
      <c r="G32" s="22">
        <f>SUM(D32,E32,F32)</f>
        <v>3.99</v>
      </c>
      <c r="H32" s="23">
        <f>AVERAGE(D32,E32,F32)</f>
        <v>3.99</v>
      </c>
      <c r="I32" s="4"/>
      <c r="J32" s="24">
        <v>7.5</v>
      </c>
      <c r="K32" s="25"/>
      <c r="L32" s="26">
        <f>H32*J32</f>
        <v>29.925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4" t="s">
        <v>57</v>
      </c>
      <c r="E33" s="30" t="s">
        <v>134</v>
      </c>
      <c r="F33" s="14" t="s">
        <v>59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8.49</v>
      </c>
      <c r="E34" s="35"/>
      <c r="F34" s="35"/>
      <c r="G34" s="22">
        <f>SUM(D34,E34,F34)</f>
        <v>8.49</v>
      </c>
      <c r="H34" s="23">
        <f>AVERAGE(D34,E34,F34)</f>
        <v>8.49</v>
      </c>
      <c r="I34" s="4"/>
      <c r="J34" s="24">
        <v>5.0</v>
      </c>
      <c r="K34" s="25"/>
      <c r="L34" s="26">
        <f>H34*J34</f>
        <v>42.45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0" t="s">
        <v>61</v>
      </c>
      <c r="E35" s="30" t="s">
        <v>62</v>
      </c>
      <c r="F35" s="13" t="s">
        <v>65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6.4</v>
      </c>
      <c r="E36" s="21">
        <v>6.45</v>
      </c>
      <c r="F36" s="21"/>
      <c r="G36" s="22">
        <f>SUM(D36,E36,F36)</f>
        <v>12.85</v>
      </c>
      <c r="H36" s="23">
        <f>AVERAGE(D36,E36,F36)</f>
        <v>6.425</v>
      </c>
      <c r="I36" s="4"/>
      <c r="J36" s="24">
        <v>7.5</v>
      </c>
      <c r="K36" s="25"/>
      <c r="L36" s="26">
        <f>H36*J36</f>
        <v>48.1875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178</v>
      </c>
      <c r="C37" s="29"/>
      <c r="D37" s="30" t="s">
        <v>61</v>
      </c>
      <c r="E37" s="34" t="s">
        <v>135</v>
      </c>
      <c r="F37" s="14" t="s">
        <v>63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/>
      <c r="E38" s="21">
        <v>21.0</v>
      </c>
      <c r="F38" s="35"/>
      <c r="G38" s="22">
        <f>SUM(D38,E38,F38)</f>
        <v>21</v>
      </c>
      <c r="H38" s="23">
        <f>AVERAGE(D38,E38,F38)</f>
        <v>21</v>
      </c>
      <c r="I38" s="4"/>
      <c r="J38" s="24">
        <v>3.0</v>
      </c>
      <c r="K38" s="25"/>
      <c r="L38" s="26">
        <f>H38*J38</f>
        <v>63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0" t="s">
        <v>48</v>
      </c>
      <c r="E39" s="34" t="s">
        <v>136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5.8</v>
      </c>
      <c r="E40" s="21">
        <v>4.49</v>
      </c>
      <c r="F40" s="21">
        <v>5.15</v>
      </c>
      <c r="G40" s="22">
        <f>SUM(D40,E40,F40)</f>
        <v>15.44</v>
      </c>
      <c r="H40" s="23">
        <f>AVERAGE(D40,E40,F40)</f>
        <v>5.146666667</v>
      </c>
      <c r="I40" s="4"/>
      <c r="J40" s="24">
        <v>4.0</v>
      </c>
      <c r="K40" s="25"/>
      <c r="L40" s="26">
        <f>H40*J40</f>
        <v>20.58666667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4" t="s">
        <v>137</v>
      </c>
      <c r="E41" s="30" t="s">
        <v>70</v>
      </c>
      <c r="F41" s="13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35"/>
      <c r="E42" s="21"/>
      <c r="F42" s="21">
        <v>6.49</v>
      </c>
      <c r="G42" s="22">
        <f>SUM(D42,E42,F42)</f>
        <v>6.49</v>
      </c>
      <c r="H42" s="23">
        <f>AVERAGE(D42,E42,F42)</f>
        <v>6.49</v>
      </c>
      <c r="I42" s="4"/>
      <c r="J42" s="24">
        <v>4.0</v>
      </c>
      <c r="K42" s="25"/>
      <c r="L42" s="26">
        <f>H42*J42</f>
        <v>25.96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0" t="s">
        <v>73</v>
      </c>
      <c r="E43" s="30" t="s">
        <v>74</v>
      </c>
      <c r="F43" s="13" t="s">
        <v>229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43.0</v>
      </c>
      <c r="E44" s="21">
        <v>41.0</v>
      </c>
      <c r="F44" s="21">
        <v>41.0</v>
      </c>
      <c r="G44" s="22">
        <f>SUM(D44,E44,F44)</f>
        <v>125</v>
      </c>
      <c r="H44" s="23">
        <f>AVERAGE(D44,E44,F44)</f>
        <v>41.66666667</v>
      </c>
      <c r="I44" s="4"/>
      <c r="J44" s="24">
        <v>3.0</v>
      </c>
      <c r="K44" s="25"/>
      <c r="L44" s="26">
        <f>H44*J44</f>
        <v>125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0" t="s">
        <v>77</v>
      </c>
      <c r="E45" s="30" t="s">
        <v>78</v>
      </c>
      <c r="F45" s="13" t="s">
        <v>79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38.0</v>
      </c>
      <c r="E46" s="21">
        <v>29.0</v>
      </c>
      <c r="F46" s="21"/>
      <c r="G46" s="22">
        <f>SUM(D46,E46,F46)</f>
        <v>67</v>
      </c>
      <c r="H46" s="23">
        <f>AVERAGE(D46,E46,F46)</f>
        <v>33.5</v>
      </c>
      <c r="I46" s="4"/>
      <c r="J46" s="24">
        <v>4.0</v>
      </c>
      <c r="K46" s="25"/>
      <c r="L46" s="26">
        <f>H46*J46</f>
        <v>134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46" t="s">
        <v>230</v>
      </c>
      <c r="C47" s="29"/>
      <c r="D47" s="34" t="s">
        <v>231</v>
      </c>
      <c r="E47" s="30" t="s">
        <v>82</v>
      </c>
      <c r="F47" s="13" t="s">
        <v>232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10.3</v>
      </c>
      <c r="E48" s="21"/>
      <c r="F48" s="21"/>
      <c r="G48" s="22">
        <f>SUM(D48,E48,F48)</f>
        <v>10.3</v>
      </c>
      <c r="H48" s="23">
        <f>AVERAGE(D48,E48,F48)</f>
        <v>10.3</v>
      </c>
      <c r="I48" s="4"/>
      <c r="J48" s="24">
        <v>5.0</v>
      </c>
      <c r="K48" s="25"/>
      <c r="L48" s="26">
        <f>H48*J48</f>
        <v>51.5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0" t="s">
        <v>84</v>
      </c>
      <c r="E49" s="30" t="s">
        <v>82</v>
      </c>
      <c r="F49" s="14" t="s">
        <v>85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11.3</v>
      </c>
      <c r="E50" s="35"/>
      <c r="F50" s="21"/>
      <c r="G50" s="22">
        <f>SUM(D50,E50,F50)</f>
        <v>11.3</v>
      </c>
      <c r="H50" s="23">
        <f>AVERAGE(D50,E50,F50)</f>
        <v>11.3</v>
      </c>
      <c r="I50" s="4"/>
      <c r="J50" s="24">
        <v>0.5</v>
      </c>
      <c r="K50" s="25"/>
      <c r="L50" s="26">
        <f>H50*J50</f>
        <v>5.65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0" t="s">
        <v>84</v>
      </c>
      <c r="E51" s="30" t="s">
        <v>82</v>
      </c>
      <c r="F51" s="13" t="s">
        <v>233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17.99</v>
      </c>
      <c r="E52" s="21">
        <v>19.99</v>
      </c>
      <c r="F52" s="21"/>
      <c r="G52" s="22">
        <f>SUM(D52,E52,F52)</f>
        <v>37.98</v>
      </c>
      <c r="H52" s="23">
        <f>AVERAGE(D52,E52,F52)</f>
        <v>18.99</v>
      </c>
      <c r="I52" s="4"/>
      <c r="J52" s="24">
        <v>0.3</v>
      </c>
      <c r="K52" s="25"/>
      <c r="L52" s="26">
        <f>H52*J52</f>
        <v>5.697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4" t="s">
        <v>168</v>
      </c>
      <c r="E53" s="30" t="s">
        <v>90</v>
      </c>
      <c r="F53" s="14" t="s">
        <v>143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56.0</v>
      </c>
      <c r="E54" s="35"/>
      <c r="F54" s="21"/>
      <c r="G54" s="22">
        <f>SUM(D54,E54,F54)</f>
        <v>56</v>
      </c>
      <c r="H54" s="23">
        <f>AVERAGE(D54,E54,F54)</f>
        <v>56</v>
      </c>
      <c r="I54" s="4"/>
      <c r="J54" s="37">
        <v>0.5</v>
      </c>
      <c r="K54" s="38"/>
      <c r="L54" s="26">
        <f>H54*J54</f>
        <v>28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106</v>
      </c>
      <c r="B55" s="32"/>
      <c r="C55" s="32"/>
      <c r="D55" s="32"/>
      <c r="E55" s="32"/>
      <c r="F55" s="32"/>
      <c r="G55" s="40"/>
      <c r="H55" s="41">
        <f>SUM(H4:H54)</f>
        <v>413.1516667</v>
      </c>
      <c r="I55" s="42"/>
      <c r="J55" s="43" t="s">
        <v>6</v>
      </c>
      <c r="K55" s="40"/>
      <c r="L55" s="44">
        <f>SUM(L4:L54)</f>
        <v>1104.8975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144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185</v>
      </c>
      <c r="C57" s="29"/>
      <c r="D57" s="30" t="s">
        <v>94</v>
      </c>
      <c r="E57" s="30" t="s">
        <v>95</v>
      </c>
      <c r="F57" s="13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6.49</v>
      </c>
      <c r="E58" s="21">
        <v>6.99</v>
      </c>
      <c r="F58" s="21"/>
      <c r="G58" s="22">
        <f>SUM(D58,E58,F58)</f>
        <v>13.48</v>
      </c>
      <c r="H58" s="23">
        <f>AVERAGE(D58,E58,F58)</f>
        <v>6.74</v>
      </c>
      <c r="I58" s="4"/>
      <c r="J58" s="24">
        <v>4.0</v>
      </c>
      <c r="K58" s="25"/>
      <c r="L58" s="26">
        <f>H58*J58</f>
        <v>26.96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0" t="s">
        <v>99</v>
      </c>
      <c r="E59" s="30" t="s">
        <v>104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3.99</v>
      </c>
      <c r="E60" s="21"/>
      <c r="F60" s="35"/>
      <c r="G60" s="22">
        <f>SUM(D60,E60,F60)</f>
        <v>3.99</v>
      </c>
      <c r="H60" s="23">
        <f>AVERAGE(D60,E60,F60)</f>
        <v>3.99</v>
      </c>
      <c r="I60" s="4"/>
      <c r="J60" s="24">
        <v>15.0</v>
      </c>
      <c r="K60" s="25"/>
      <c r="L60" s="26">
        <f>H60*J60</f>
        <v>59.85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148</v>
      </c>
      <c r="F61" s="13" t="s">
        <v>149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>
        <v>3.49</v>
      </c>
      <c r="E62" s="21"/>
      <c r="F62" s="21"/>
      <c r="G62" s="22">
        <f>SUM(D62,E62,F62)</f>
        <v>3.49</v>
      </c>
      <c r="H62" s="23">
        <f>AVERAGE(D62,E62,F62)</f>
        <v>3.49</v>
      </c>
      <c r="I62" s="4"/>
      <c r="J62" s="24">
        <v>2.0</v>
      </c>
      <c r="K62" s="25"/>
      <c r="L62" s="26">
        <f>H62*J62</f>
        <v>6.98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0" t="s">
        <v>104</v>
      </c>
      <c r="F63" s="14" t="s">
        <v>105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2.99</v>
      </c>
      <c r="E64" s="35"/>
      <c r="F64" s="35"/>
      <c r="G64" s="22">
        <f>SUM(D64,E64,F64)</f>
        <v>2.99</v>
      </c>
      <c r="H64" s="23">
        <f>AVERAGE(D64,E64,F64)</f>
        <v>2.99</v>
      </c>
      <c r="I64" s="4"/>
      <c r="J64" s="24">
        <v>2.0</v>
      </c>
      <c r="K64" s="25"/>
      <c r="L64" s="26">
        <f>H64*J64</f>
        <v>5.98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>
        <f>SUM(H57:H64)</f>
        <v>17.21</v>
      </c>
      <c r="I65" s="42"/>
      <c r="J65" s="43" t="s">
        <v>6</v>
      </c>
      <c r="K65" s="40"/>
      <c r="L65" s="44">
        <f>SUM(L57:L64)</f>
        <v>99.77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0" t="s">
        <v>109</v>
      </c>
      <c r="E67" s="34" t="s">
        <v>111</v>
      </c>
      <c r="F67" s="14" t="s">
        <v>150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4.49</v>
      </c>
      <c r="E68" s="21">
        <v>4.49</v>
      </c>
      <c r="F68" s="21"/>
      <c r="G68" s="22">
        <f>SUM(D68,E68,F68)</f>
        <v>8.98</v>
      </c>
      <c r="H68" s="23">
        <f>AVERAGE(D68,E68,F68)</f>
        <v>4.49</v>
      </c>
      <c r="I68" s="4"/>
      <c r="J68" s="24">
        <v>3.0</v>
      </c>
      <c r="K68" s="25"/>
      <c r="L68" s="26">
        <f>H68*J68</f>
        <v>13.47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46" t="s">
        <v>234</v>
      </c>
      <c r="C69" s="29"/>
      <c r="D69" s="30" t="s">
        <v>113</v>
      </c>
      <c r="E69" s="30" t="s">
        <v>114</v>
      </c>
      <c r="F69" s="14" t="s">
        <v>33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3.99</v>
      </c>
      <c r="E70" s="21">
        <v>3.99</v>
      </c>
      <c r="F70" s="35"/>
      <c r="G70" s="22">
        <f>SUM(D70,E70,F70)</f>
        <v>7.98</v>
      </c>
      <c r="H70" s="23">
        <f>AVERAGE(D70,E70,F70)</f>
        <v>3.99</v>
      </c>
      <c r="I70" s="4"/>
      <c r="J70" s="24">
        <v>2.0</v>
      </c>
      <c r="K70" s="25"/>
      <c r="L70" s="26">
        <f>H70*J70</f>
        <v>7.98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46" t="s">
        <v>235</v>
      </c>
      <c r="C71" s="29"/>
      <c r="D71" s="30" t="s">
        <v>116</v>
      </c>
      <c r="E71" s="30" t="s">
        <v>117</v>
      </c>
      <c r="F71" s="13" t="s">
        <v>118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2.75</v>
      </c>
      <c r="E72" s="21">
        <v>2.8</v>
      </c>
      <c r="F72" s="21"/>
      <c r="G72" s="22">
        <f>SUM(D72,E72,F72)</f>
        <v>5.55</v>
      </c>
      <c r="H72" s="23">
        <f>AVERAGE(D72,E72,F72)</f>
        <v>2.775</v>
      </c>
      <c r="I72" s="4"/>
      <c r="J72" s="24">
        <v>10.0</v>
      </c>
      <c r="K72" s="25"/>
      <c r="L72" s="26">
        <f>H72*J72</f>
        <v>27.75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152</v>
      </c>
      <c r="F73" s="14" t="s">
        <v>33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18.99</v>
      </c>
      <c r="E74" s="21">
        <v>18.0</v>
      </c>
      <c r="F74" s="35"/>
      <c r="G74" s="22">
        <f>SUM(D74,E74,F74)</f>
        <v>36.99</v>
      </c>
      <c r="H74" s="23">
        <f>AVERAGE(D74,E74,F74)</f>
        <v>18.495</v>
      </c>
      <c r="I74" s="4"/>
      <c r="J74" s="24">
        <v>2.0</v>
      </c>
      <c r="K74" s="25"/>
      <c r="L74" s="26">
        <f>H74*J74</f>
        <v>36.99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0" t="s">
        <v>124</v>
      </c>
      <c r="F75" s="13"/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3.99</v>
      </c>
      <c r="E76" s="21"/>
      <c r="F76" s="21"/>
      <c r="G76" s="22">
        <f>SUM(D76,E76,F76)</f>
        <v>3.99</v>
      </c>
      <c r="H76" s="23">
        <f>AVERAGE(D76,E76,F76)</f>
        <v>3.99</v>
      </c>
      <c r="I76" s="4"/>
      <c r="J76" s="24">
        <v>1.0</v>
      </c>
      <c r="K76" s="25"/>
      <c r="L76" s="26">
        <f>H76*J76</f>
        <v>3.99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33.74</v>
      </c>
      <c r="I77" s="42"/>
      <c r="J77" s="43" t="s">
        <v>6</v>
      </c>
      <c r="K77" s="40"/>
      <c r="L77" s="49">
        <f>SUM(L68:L76)</f>
        <v>90.18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464.1016667</v>
      </c>
      <c r="I80" s="4"/>
      <c r="J80" s="4"/>
      <c r="K80" s="54" t="s">
        <v>6</v>
      </c>
      <c r="L80" s="49">
        <f>L55+L65+L77</f>
        <v>1294.8475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236</v>
      </c>
      <c r="B2" s="7"/>
      <c r="C2" s="7"/>
      <c r="D2" s="7"/>
      <c r="E2" s="8"/>
      <c r="F2" s="9" t="s">
        <v>1</v>
      </c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>
        <v>1.0</v>
      </c>
      <c r="B3" s="11" t="s">
        <v>2</v>
      </c>
      <c r="C3" s="12"/>
      <c r="D3" s="14" t="s">
        <v>3</v>
      </c>
      <c r="E3" s="14" t="s">
        <v>4</v>
      </c>
      <c r="F3" s="13" t="s">
        <v>164</v>
      </c>
      <c r="G3" s="15" t="s">
        <v>6</v>
      </c>
      <c r="H3" s="15" t="s">
        <v>7</v>
      </c>
      <c r="I3" s="16"/>
      <c r="J3" s="14" t="s">
        <v>8</v>
      </c>
      <c r="K3" s="14" t="s">
        <v>9</v>
      </c>
      <c r="L3" s="17" t="s">
        <v>10</v>
      </c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8"/>
      <c r="B4" s="19"/>
      <c r="C4" s="20"/>
      <c r="D4" s="21">
        <v>37.79</v>
      </c>
      <c r="E4" s="21">
        <v>32.0</v>
      </c>
      <c r="F4" s="21"/>
      <c r="G4" s="22">
        <f>SUM(D4,E4,F4)</f>
        <v>69.79</v>
      </c>
      <c r="H4" s="23">
        <f>AVERAGE(D4,E4,F4)</f>
        <v>34.895</v>
      </c>
      <c r="I4" s="16"/>
      <c r="J4" s="24">
        <v>3.0</v>
      </c>
      <c r="K4" s="25" t="s">
        <v>11</v>
      </c>
      <c r="L4" s="26">
        <f>H4*J4</f>
        <v>104.685</v>
      </c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27">
        <f>A3+1</f>
        <v>2</v>
      </c>
      <c r="B5" s="28" t="s">
        <v>12</v>
      </c>
      <c r="C5" s="29"/>
      <c r="D5" s="34" t="s">
        <v>3</v>
      </c>
      <c r="E5" s="30" t="s">
        <v>13</v>
      </c>
      <c r="F5" s="14" t="s">
        <v>127</v>
      </c>
      <c r="G5" s="15"/>
      <c r="H5" s="15"/>
      <c r="I5" s="16"/>
      <c r="J5" s="31"/>
      <c r="K5" s="32"/>
      <c r="L5" s="33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8"/>
      <c r="B6" s="19"/>
      <c r="C6" s="20"/>
      <c r="D6" s="21">
        <v>6.49</v>
      </c>
      <c r="E6" s="21">
        <v>6.49</v>
      </c>
      <c r="F6" s="35"/>
      <c r="G6" s="22">
        <f>SUM(D6,E6,F6)</f>
        <v>12.98</v>
      </c>
      <c r="H6" s="23">
        <f>AVERAGE(D6,E6,F6)</f>
        <v>6.49</v>
      </c>
      <c r="I6" s="16"/>
      <c r="J6" s="24">
        <v>4.0</v>
      </c>
      <c r="K6" s="25"/>
      <c r="L6" s="26">
        <f>H6*J6</f>
        <v>25.96</v>
      </c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27">
        <f>A5+1</f>
        <v>3</v>
      </c>
      <c r="B7" s="28" t="s">
        <v>15</v>
      </c>
      <c r="C7" s="29"/>
      <c r="D7" s="30" t="s">
        <v>16</v>
      </c>
      <c r="E7" s="34" t="s">
        <v>237</v>
      </c>
      <c r="F7" s="14" t="s">
        <v>18</v>
      </c>
      <c r="G7" s="15"/>
      <c r="H7" s="15"/>
      <c r="I7" s="16"/>
      <c r="J7" s="31"/>
      <c r="K7" s="32"/>
      <c r="L7" s="33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8"/>
      <c r="B8" s="19"/>
      <c r="C8" s="20"/>
      <c r="D8" s="21">
        <v>19.9</v>
      </c>
      <c r="E8" s="21"/>
      <c r="F8" s="35"/>
      <c r="G8" s="22">
        <f>SUM(D8,E8,F8)</f>
        <v>19.9</v>
      </c>
      <c r="H8" s="23">
        <f>AVERAGE(D8,E8,F8)</f>
        <v>19.9</v>
      </c>
      <c r="I8" s="16"/>
      <c r="J8" s="24">
        <v>2.0</v>
      </c>
      <c r="K8" s="25"/>
      <c r="L8" s="26">
        <f>H8*J8</f>
        <v>39.8</v>
      </c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27">
        <f>A7+1</f>
        <v>4</v>
      </c>
      <c r="B9" s="28" t="s">
        <v>19</v>
      </c>
      <c r="C9" s="29"/>
      <c r="D9" s="30" t="s">
        <v>20</v>
      </c>
      <c r="E9" s="30" t="s">
        <v>21</v>
      </c>
      <c r="F9" s="13" t="s">
        <v>238</v>
      </c>
      <c r="G9" s="15"/>
      <c r="H9" s="15"/>
      <c r="I9" s="16"/>
      <c r="J9" s="31"/>
      <c r="K9" s="32"/>
      <c r="L9" s="33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8"/>
      <c r="B10" s="19"/>
      <c r="C10" s="20"/>
      <c r="D10" s="21"/>
      <c r="E10" s="21">
        <v>24.9</v>
      </c>
      <c r="F10" s="21">
        <v>23.99</v>
      </c>
      <c r="G10" s="22">
        <f>SUM(D10,E10,F10)</f>
        <v>48.89</v>
      </c>
      <c r="H10" s="23">
        <f>AVERAGE(D10,E10,F10)</f>
        <v>24.445</v>
      </c>
      <c r="I10" s="16"/>
      <c r="J10" s="24">
        <v>3.0</v>
      </c>
      <c r="K10" s="25"/>
      <c r="L10" s="26">
        <f>H10*J10</f>
        <v>73.335</v>
      </c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27">
        <f>A9+1</f>
        <v>5</v>
      </c>
      <c r="B11" s="28" t="s">
        <v>23</v>
      </c>
      <c r="C11" s="29"/>
      <c r="D11" s="30" t="s">
        <v>24</v>
      </c>
      <c r="E11" s="30" t="s">
        <v>25</v>
      </c>
      <c r="F11" s="14" t="s">
        <v>26</v>
      </c>
      <c r="G11" s="15"/>
      <c r="H11" s="15"/>
      <c r="I11" s="16"/>
      <c r="J11" s="31"/>
      <c r="K11" s="32"/>
      <c r="L11" s="33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8"/>
      <c r="B12" s="19"/>
      <c r="C12" s="20"/>
      <c r="D12" s="21">
        <v>6.49</v>
      </c>
      <c r="E12" s="21"/>
      <c r="F12" s="21"/>
      <c r="G12" s="22">
        <f>SUM(D12,E12,F12)</f>
        <v>6.49</v>
      </c>
      <c r="H12" s="23">
        <f>AVERAGE(D12,E12,F12)</f>
        <v>6.49</v>
      </c>
      <c r="I12" s="16"/>
      <c r="J12" s="24">
        <v>3.0</v>
      </c>
      <c r="K12" s="25"/>
      <c r="L12" s="26">
        <f>H12*J12</f>
        <v>19.47</v>
      </c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27">
        <f>A11+1</f>
        <v>6</v>
      </c>
      <c r="B13" s="28" t="s">
        <v>27</v>
      </c>
      <c r="C13" s="29"/>
      <c r="D13" s="34" t="s">
        <v>239</v>
      </c>
      <c r="E13" s="30" t="s">
        <v>133</v>
      </c>
      <c r="F13" s="14" t="s">
        <v>30</v>
      </c>
      <c r="G13" s="15"/>
      <c r="H13" s="15"/>
      <c r="I13" s="16"/>
      <c r="J13" s="31"/>
      <c r="K13" s="32"/>
      <c r="L13" s="33"/>
      <c r="M13" s="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8"/>
      <c r="B14" s="19"/>
      <c r="C14" s="20"/>
      <c r="D14" s="21"/>
      <c r="E14" s="35"/>
      <c r="F14" s="21">
        <v>11.3</v>
      </c>
      <c r="G14" s="22">
        <f>SUM(D14,E14,F14)</f>
        <v>11.3</v>
      </c>
      <c r="H14" s="23">
        <f>AVERAGE(D14,E14,F14)</f>
        <v>11.3</v>
      </c>
      <c r="I14" s="16"/>
      <c r="J14" s="24">
        <v>1.0</v>
      </c>
      <c r="K14" s="25"/>
      <c r="L14" s="26">
        <f>H14*J14</f>
        <v>11.3</v>
      </c>
      <c r="M14" s="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27">
        <f>A13+1</f>
        <v>7</v>
      </c>
      <c r="B15" s="28" t="s">
        <v>31</v>
      </c>
      <c r="C15" s="29"/>
      <c r="D15" s="34" t="s">
        <v>240</v>
      </c>
      <c r="E15" s="30" t="s">
        <v>33</v>
      </c>
      <c r="F15" s="13" t="s">
        <v>33</v>
      </c>
      <c r="G15" s="15"/>
      <c r="H15" s="15"/>
      <c r="I15" s="16"/>
      <c r="J15" s="31"/>
      <c r="K15" s="32"/>
      <c r="L15" s="33"/>
      <c r="M15" s="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8"/>
      <c r="B16" s="19"/>
      <c r="C16" s="20"/>
      <c r="D16" s="21">
        <v>5.99</v>
      </c>
      <c r="E16" s="35"/>
      <c r="F16" s="35"/>
      <c r="G16" s="22">
        <f>SUM(D16,E16,F16)</f>
        <v>5.99</v>
      </c>
      <c r="H16" s="23">
        <f>AVERAGE(D16,E16,F16)</f>
        <v>5.99</v>
      </c>
      <c r="I16" s="16"/>
      <c r="J16" s="24">
        <v>4.0</v>
      </c>
      <c r="K16" s="25"/>
      <c r="L16" s="26">
        <f>H16*J16</f>
        <v>23.96</v>
      </c>
      <c r="M16" s="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27">
        <f>A15+1</f>
        <v>8</v>
      </c>
      <c r="B17" s="28" t="s">
        <v>34</v>
      </c>
      <c r="C17" s="29"/>
      <c r="D17" s="30" t="s">
        <v>35</v>
      </c>
      <c r="E17" s="30" t="s">
        <v>33</v>
      </c>
      <c r="F17" s="14" t="s">
        <v>33</v>
      </c>
      <c r="G17" s="15"/>
      <c r="H17" s="15"/>
      <c r="I17" s="16"/>
      <c r="J17" s="31"/>
      <c r="K17" s="32"/>
      <c r="L17" s="33"/>
      <c r="M17" s="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8"/>
      <c r="B18" s="19"/>
      <c r="C18" s="20"/>
      <c r="D18" s="21">
        <v>5.99</v>
      </c>
      <c r="E18" s="35"/>
      <c r="F18" s="35"/>
      <c r="G18" s="22">
        <f>SUM(D18,E18,F18)</f>
        <v>5.99</v>
      </c>
      <c r="H18" s="23">
        <f>AVERAGE(D18,E18,F18)</f>
        <v>5.99</v>
      </c>
      <c r="I18" s="16"/>
      <c r="J18" s="24">
        <v>1.0</v>
      </c>
      <c r="K18" s="25"/>
      <c r="L18" s="26">
        <f>H18*J18</f>
        <v>5.99</v>
      </c>
      <c r="M18" s="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27">
        <f>A17+1</f>
        <v>9</v>
      </c>
      <c r="B19" s="28" t="s">
        <v>36</v>
      </c>
      <c r="C19" s="29"/>
      <c r="D19" s="30" t="s">
        <v>37</v>
      </c>
      <c r="E19" s="30" t="s">
        <v>33</v>
      </c>
      <c r="F19" s="14" t="s">
        <v>33</v>
      </c>
      <c r="G19" s="15"/>
      <c r="H19" s="15"/>
      <c r="I19" s="16"/>
      <c r="J19" s="31"/>
      <c r="K19" s="32"/>
      <c r="L19" s="33"/>
      <c r="M19" s="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8"/>
      <c r="B20" s="19"/>
      <c r="C20" s="20"/>
      <c r="D20" s="21">
        <v>5.99</v>
      </c>
      <c r="E20" s="35"/>
      <c r="F20" s="35"/>
      <c r="G20" s="22">
        <f>SUM(D20,E20,F20)</f>
        <v>5.99</v>
      </c>
      <c r="H20" s="23">
        <f>AVERAGE(D20,E20,F20)</f>
        <v>5.99</v>
      </c>
      <c r="I20" s="16"/>
      <c r="J20" s="24">
        <v>9.0</v>
      </c>
      <c r="K20" s="25"/>
      <c r="L20" s="26">
        <f>H20*J20</f>
        <v>53.91</v>
      </c>
      <c r="M20" s="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27">
        <f>A19+1</f>
        <v>10</v>
      </c>
      <c r="B21" s="28" t="s">
        <v>38</v>
      </c>
      <c r="C21" s="29"/>
      <c r="D21" s="34" t="s">
        <v>39</v>
      </c>
      <c r="E21" s="30" t="s">
        <v>33</v>
      </c>
      <c r="F21" s="14" t="s">
        <v>33</v>
      </c>
      <c r="G21" s="15"/>
      <c r="H21" s="15"/>
      <c r="I21" s="16"/>
      <c r="J21" s="31"/>
      <c r="K21" s="32"/>
      <c r="L21" s="33"/>
      <c r="M21" s="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8"/>
      <c r="B22" s="19"/>
      <c r="C22" s="20"/>
      <c r="D22" s="21">
        <v>28.5</v>
      </c>
      <c r="E22" s="35"/>
      <c r="F22" s="35"/>
      <c r="G22" s="22">
        <f>SUM(D22,E22,F22)</f>
        <v>28.5</v>
      </c>
      <c r="H22" s="23">
        <f>AVERAGE(D22,E22,F22)</f>
        <v>28.5</v>
      </c>
      <c r="I22" s="16"/>
      <c r="J22" s="24">
        <v>0.2</v>
      </c>
      <c r="K22" s="25"/>
      <c r="L22" s="26">
        <f>H22*J22</f>
        <v>5.7</v>
      </c>
      <c r="M22" s="4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7">
        <f>A21+1</f>
        <v>11</v>
      </c>
      <c r="B23" s="28" t="s">
        <v>40</v>
      </c>
      <c r="C23" s="29"/>
      <c r="D23" s="30" t="s">
        <v>41</v>
      </c>
      <c r="E23" s="30" t="s">
        <v>42</v>
      </c>
      <c r="F23" s="14" t="s">
        <v>33</v>
      </c>
      <c r="G23" s="15"/>
      <c r="H23" s="15"/>
      <c r="I23" s="16"/>
      <c r="J23" s="31"/>
      <c r="K23" s="32"/>
      <c r="L23" s="33"/>
      <c r="M23" s="4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8"/>
      <c r="B24" s="19"/>
      <c r="C24" s="20"/>
      <c r="D24" s="21">
        <v>10.3</v>
      </c>
      <c r="E24" s="35"/>
      <c r="F24" s="35"/>
      <c r="G24" s="22">
        <f>SUM(D24,E24,F24)</f>
        <v>10.3</v>
      </c>
      <c r="H24" s="23">
        <f>AVERAGE(D24,E24,F24)</f>
        <v>10.3</v>
      </c>
      <c r="I24" s="4"/>
      <c r="J24" s="24">
        <v>3.0</v>
      </c>
      <c r="K24" s="25"/>
      <c r="L24" s="26">
        <f>H24*J24</f>
        <v>30.9</v>
      </c>
      <c r="M24" s="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27">
        <f>A23+1</f>
        <v>12</v>
      </c>
      <c r="B25" s="28" t="s">
        <v>43</v>
      </c>
      <c r="C25" s="29"/>
      <c r="D25" s="30" t="s">
        <v>44</v>
      </c>
      <c r="E25" s="30" t="s">
        <v>45</v>
      </c>
      <c r="F25" s="14" t="s">
        <v>46</v>
      </c>
      <c r="G25" s="15"/>
      <c r="H25" s="15"/>
      <c r="I25" s="4"/>
      <c r="J25" s="31"/>
      <c r="K25" s="32"/>
      <c r="L25" s="33"/>
      <c r="M25" s="4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8"/>
      <c r="B26" s="19"/>
      <c r="C26" s="20"/>
      <c r="D26" s="21"/>
      <c r="E26" s="35"/>
      <c r="F26" s="21">
        <v>5.3</v>
      </c>
      <c r="G26" s="22">
        <f>SUM(D26,E26,F26)</f>
        <v>5.3</v>
      </c>
      <c r="H26" s="23">
        <f>AVERAGE(D26,E26,F26)</f>
        <v>5.3</v>
      </c>
      <c r="I26" s="4"/>
      <c r="J26" s="24">
        <v>4.0</v>
      </c>
      <c r="K26" s="25"/>
      <c r="L26" s="26">
        <f>H26*J26</f>
        <v>21.2</v>
      </c>
      <c r="M26" s="4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27">
        <f>A25+1</f>
        <v>13</v>
      </c>
      <c r="B27" s="46" t="s">
        <v>241</v>
      </c>
      <c r="C27" s="29"/>
      <c r="D27" s="30" t="s">
        <v>48</v>
      </c>
      <c r="E27" s="34" t="s">
        <v>242</v>
      </c>
      <c r="F27" s="14" t="s">
        <v>50</v>
      </c>
      <c r="G27" s="15"/>
      <c r="H27" s="15"/>
      <c r="I27" s="4"/>
      <c r="J27" s="31"/>
      <c r="K27" s="32"/>
      <c r="L27" s="33"/>
      <c r="M27" s="4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8"/>
      <c r="B28" s="19"/>
      <c r="C28" s="20"/>
      <c r="D28" s="21">
        <v>1.99</v>
      </c>
      <c r="E28" s="21">
        <v>1.99</v>
      </c>
      <c r="F28" s="21"/>
      <c r="G28" s="22">
        <f>SUM(D28,E28,F28)</f>
        <v>3.98</v>
      </c>
      <c r="H28" s="23">
        <f>AVERAGE(D28,E28,F28)</f>
        <v>1.99</v>
      </c>
      <c r="I28" s="4"/>
      <c r="J28" s="24">
        <v>2.0</v>
      </c>
      <c r="K28" s="25"/>
      <c r="L28" s="26">
        <f>H28*J28</f>
        <v>3.98</v>
      </c>
      <c r="M28" s="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27">
        <f>A27+1</f>
        <v>14</v>
      </c>
      <c r="B29" s="28" t="s">
        <v>51</v>
      </c>
      <c r="C29" s="29"/>
      <c r="D29" s="30" t="s">
        <v>52</v>
      </c>
      <c r="E29" s="30" t="s">
        <v>33</v>
      </c>
      <c r="F29" s="14" t="s">
        <v>33</v>
      </c>
      <c r="G29" s="15"/>
      <c r="H29" s="15"/>
      <c r="I29" s="4"/>
      <c r="J29" s="31"/>
      <c r="K29" s="32"/>
      <c r="L29" s="33"/>
      <c r="M29" s="4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8"/>
      <c r="B30" s="19"/>
      <c r="C30" s="20"/>
      <c r="D30" s="21">
        <v>14.89</v>
      </c>
      <c r="E30" s="35"/>
      <c r="F30" s="35"/>
      <c r="G30" s="22">
        <f>SUM(D30,E30,F30)</f>
        <v>14.89</v>
      </c>
      <c r="H30" s="23">
        <f>AVERAGE(D30,E30,F30)</f>
        <v>14.89</v>
      </c>
      <c r="I30" s="4"/>
      <c r="J30" s="24">
        <v>6.0</v>
      </c>
      <c r="K30" s="25"/>
      <c r="L30" s="26">
        <f>H30*J30</f>
        <v>89.34</v>
      </c>
      <c r="M30" s="4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7">
        <f>A29+1</f>
        <v>15</v>
      </c>
      <c r="B31" s="28" t="s">
        <v>53</v>
      </c>
      <c r="C31" s="29"/>
      <c r="D31" s="30" t="s">
        <v>54</v>
      </c>
      <c r="E31" s="30" t="s">
        <v>55</v>
      </c>
      <c r="F31" s="14" t="s">
        <v>33</v>
      </c>
      <c r="G31" s="15"/>
      <c r="H31" s="15"/>
      <c r="I31" s="4"/>
      <c r="J31" s="31"/>
      <c r="K31" s="32"/>
      <c r="L31" s="33"/>
      <c r="M31" s="4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8"/>
      <c r="B32" s="19"/>
      <c r="C32" s="20"/>
      <c r="D32" s="21">
        <v>4.5</v>
      </c>
      <c r="E32" s="35"/>
      <c r="F32" s="35"/>
      <c r="G32" s="22">
        <f>SUM(D32,E32,F32)</f>
        <v>4.5</v>
      </c>
      <c r="H32" s="23">
        <f>AVERAGE(D32,E32,F32)</f>
        <v>4.5</v>
      </c>
      <c r="I32" s="4"/>
      <c r="J32" s="24">
        <v>7.5</v>
      </c>
      <c r="K32" s="25"/>
      <c r="L32" s="26">
        <f>H32*J32</f>
        <v>33.75</v>
      </c>
      <c r="M32" s="4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7">
        <f>A31+1</f>
        <v>16</v>
      </c>
      <c r="B33" s="28" t="s">
        <v>56</v>
      </c>
      <c r="C33" s="29"/>
      <c r="D33" s="30" t="s">
        <v>57</v>
      </c>
      <c r="E33" s="30" t="s">
        <v>134</v>
      </c>
      <c r="F33" s="13" t="s">
        <v>243</v>
      </c>
      <c r="G33" s="15"/>
      <c r="H33" s="15"/>
      <c r="I33" s="4"/>
      <c r="J33" s="31"/>
      <c r="K33" s="32"/>
      <c r="L33" s="33"/>
      <c r="M33" s="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8"/>
      <c r="B34" s="19"/>
      <c r="C34" s="20"/>
      <c r="D34" s="21">
        <v>8.99</v>
      </c>
      <c r="E34" s="21"/>
      <c r="F34" s="21"/>
      <c r="G34" s="22">
        <f>SUM(D34,E34,F34)</f>
        <v>8.99</v>
      </c>
      <c r="H34" s="23">
        <f>AVERAGE(D34,E34,F34)</f>
        <v>8.99</v>
      </c>
      <c r="I34" s="4"/>
      <c r="J34" s="24">
        <v>5.0</v>
      </c>
      <c r="K34" s="25"/>
      <c r="L34" s="26">
        <f>H34*J34</f>
        <v>44.95</v>
      </c>
      <c r="M34" s="4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7">
        <f>A33+1</f>
        <v>17</v>
      </c>
      <c r="B35" s="28" t="s">
        <v>60</v>
      </c>
      <c r="C35" s="29"/>
      <c r="D35" s="34" t="s">
        <v>62</v>
      </c>
      <c r="E35" s="34" t="s">
        <v>244</v>
      </c>
      <c r="F35" s="14" t="s">
        <v>63</v>
      </c>
      <c r="G35" s="15"/>
      <c r="H35" s="15"/>
      <c r="I35" s="4"/>
      <c r="J35" s="31"/>
      <c r="K35" s="32"/>
      <c r="L35" s="33"/>
      <c r="M35" s="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8"/>
      <c r="B36" s="19"/>
      <c r="C36" s="20"/>
      <c r="D36" s="21">
        <v>6.7</v>
      </c>
      <c r="E36" s="21">
        <v>5.99</v>
      </c>
      <c r="F36" s="21"/>
      <c r="G36" s="22">
        <f>SUM(D36,E36,F36)</f>
        <v>12.69</v>
      </c>
      <c r="H36" s="23">
        <f>AVERAGE(D36,E36,F36)</f>
        <v>6.345</v>
      </c>
      <c r="I36" s="4"/>
      <c r="J36" s="24">
        <v>7.5</v>
      </c>
      <c r="K36" s="25"/>
      <c r="L36" s="26">
        <f>H36*J36</f>
        <v>47.5875</v>
      </c>
      <c r="M36" s="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27">
        <f>A35+1</f>
        <v>18</v>
      </c>
      <c r="B37" s="46" t="s">
        <v>178</v>
      </c>
      <c r="C37" s="29"/>
      <c r="D37" s="30" t="s">
        <v>61</v>
      </c>
      <c r="E37" s="30" t="s">
        <v>135</v>
      </c>
      <c r="F37" s="13" t="s">
        <v>65</v>
      </c>
      <c r="G37" s="15"/>
      <c r="H37" s="15"/>
      <c r="I37" s="4"/>
      <c r="J37" s="31"/>
      <c r="K37" s="32"/>
      <c r="L37" s="33"/>
      <c r="M37" s="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8"/>
      <c r="B38" s="19"/>
      <c r="C38" s="20"/>
      <c r="D38" s="21">
        <v>21.0</v>
      </c>
      <c r="E38" s="21">
        <v>21.3</v>
      </c>
      <c r="F38" s="21"/>
      <c r="G38" s="22">
        <f>SUM(D38,E38,F38)</f>
        <v>42.3</v>
      </c>
      <c r="H38" s="23">
        <f>AVERAGE(D38,E38,F38)</f>
        <v>21.15</v>
      </c>
      <c r="I38" s="4"/>
      <c r="J38" s="24">
        <v>3.0</v>
      </c>
      <c r="K38" s="25"/>
      <c r="L38" s="26">
        <f>H38*J38</f>
        <v>63.45</v>
      </c>
      <c r="M38" s="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27">
        <f>A37+1</f>
        <v>19</v>
      </c>
      <c r="B39" s="28" t="s">
        <v>66</v>
      </c>
      <c r="C39" s="29"/>
      <c r="D39" s="34" t="s">
        <v>48</v>
      </c>
      <c r="E39" s="34" t="s">
        <v>245</v>
      </c>
      <c r="F39" s="14" t="s">
        <v>26</v>
      </c>
      <c r="G39" s="15"/>
      <c r="H39" s="15"/>
      <c r="I39" s="4"/>
      <c r="J39" s="31"/>
      <c r="K39" s="32"/>
      <c r="L39" s="33"/>
      <c r="M39" s="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8"/>
      <c r="B40" s="19"/>
      <c r="C40" s="20"/>
      <c r="D40" s="21">
        <v>7.7</v>
      </c>
      <c r="E40" s="21">
        <v>5.99</v>
      </c>
      <c r="F40" s="35"/>
      <c r="G40" s="22">
        <f>SUM(D40,E40,F40)</f>
        <v>13.69</v>
      </c>
      <c r="H40" s="23">
        <f>AVERAGE(D40,E40,F40)</f>
        <v>6.845</v>
      </c>
      <c r="I40" s="4"/>
      <c r="J40" s="24">
        <v>4.0</v>
      </c>
      <c r="K40" s="25"/>
      <c r="L40" s="26">
        <f>H40*J40</f>
        <v>27.38</v>
      </c>
      <c r="M40" s="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7">
        <f>A39+1</f>
        <v>20</v>
      </c>
      <c r="B41" s="28" t="s">
        <v>68</v>
      </c>
      <c r="C41" s="29"/>
      <c r="D41" s="30" t="s">
        <v>137</v>
      </c>
      <c r="E41" s="30" t="s">
        <v>70</v>
      </c>
      <c r="F41" s="14" t="s">
        <v>71</v>
      </c>
      <c r="G41" s="15"/>
      <c r="H41" s="15"/>
      <c r="I41" s="4"/>
      <c r="J41" s="31"/>
      <c r="K41" s="32"/>
      <c r="L41" s="33"/>
      <c r="M41" s="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8"/>
      <c r="B42" s="19"/>
      <c r="C42" s="20"/>
      <c r="D42" s="21"/>
      <c r="E42" s="21"/>
      <c r="F42" s="21">
        <v>3.25</v>
      </c>
      <c r="G42" s="22">
        <f>SUM(D42,E42,F42)</f>
        <v>3.25</v>
      </c>
      <c r="H42" s="23">
        <f>AVERAGE(D42,E42,F42)</f>
        <v>3.25</v>
      </c>
      <c r="I42" s="4"/>
      <c r="J42" s="24">
        <v>4.0</v>
      </c>
      <c r="K42" s="25"/>
      <c r="L42" s="26">
        <f>H42*J42</f>
        <v>13</v>
      </c>
      <c r="M42" s="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27">
        <f>A41+1</f>
        <v>21</v>
      </c>
      <c r="B43" s="28" t="s">
        <v>72</v>
      </c>
      <c r="C43" s="29"/>
      <c r="D43" s="34" t="s">
        <v>218</v>
      </c>
      <c r="E43" s="30" t="s">
        <v>74</v>
      </c>
      <c r="F43" s="14" t="s">
        <v>138</v>
      </c>
      <c r="G43" s="15"/>
      <c r="H43" s="15"/>
      <c r="I43" s="4"/>
      <c r="J43" s="31"/>
      <c r="K43" s="32"/>
      <c r="L43" s="33"/>
      <c r="M43" s="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8"/>
      <c r="B44" s="19"/>
      <c r="C44" s="20"/>
      <c r="D44" s="21">
        <v>43.0</v>
      </c>
      <c r="E44" s="21">
        <v>40.89</v>
      </c>
      <c r="F44" s="21"/>
      <c r="G44" s="22">
        <f>SUM(D44,E44,F44)</f>
        <v>83.89</v>
      </c>
      <c r="H44" s="23">
        <f>AVERAGE(D44,E44,F44)</f>
        <v>41.945</v>
      </c>
      <c r="I44" s="4"/>
      <c r="J44" s="24">
        <v>3.0</v>
      </c>
      <c r="K44" s="25"/>
      <c r="L44" s="26">
        <f>H44*J44</f>
        <v>125.835</v>
      </c>
      <c r="M44" s="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27">
        <f>A43+1</f>
        <v>22</v>
      </c>
      <c r="B45" s="28" t="s">
        <v>76</v>
      </c>
      <c r="C45" s="29"/>
      <c r="D45" s="34" t="s">
        <v>246</v>
      </c>
      <c r="E45" s="30" t="s">
        <v>78</v>
      </c>
      <c r="F45" s="14" t="s">
        <v>139</v>
      </c>
      <c r="G45" s="15"/>
      <c r="H45" s="15"/>
      <c r="I45" s="4"/>
      <c r="J45" s="31"/>
      <c r="K45" s="32"/>
      <c r="L45" s="33"/>
      <c r="M45" s="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8"/>
      <c r="B46" s="19"/>
      <c r="C46" s="20"/>
      <c r="D46" s="21">
        <v>35.0</v>
      </c>
      <c r="E46" s="21">
        <v>28.9</v>
      </c>
      <c r="F46" s="35"/>
      <c r="G46" s="22">
        <f>SUM(D46,E46,F46)</f>
        <v>63.9</v>
      </c>
      <c r="H46" s="23">
        <f>AVERAGE(D46,E46,F46)</f>
        <v>31.95</v>
      </c>
      <c r="I46" s="4"/>
      <c r="J46" s="24">
        <v>4.0</v>
      </c>
      <c r="K46" s="25"/>
      <c r="L46" s="26">
        <f>H46*J46</f>
        <v>127.8</v>
      </c>
      <c r="M46" s="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27">
        <f>A45+1</f>
        <v>23</v>
      </c>
      <c r="B47" s="28" t="s">
        <v>80</v>
      </c>
      <c r="C47" s="29"/>
      <c r="D47" s="34" t="s">
        <v>247</v>
      </c>
      <c r="E47" s="30" t="s">
        <v>82</v>
      </c>
      <c r="F47" s="14" t="s">
        <v>33</v>
      </c>
      <c r="G47" s="15"/>
      <c r="H47" s="15"/>
      <c r="I47" s="4"/>
      <c r="J47" s="31"/>
      <c r="K47" s="32"/>
      <c r="L47" s="33"/>
      <c r="M47" s="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8"/>
      <c r="B48" s="19"/>
      <c r="C48" s="20"/>
      <c r="D48" s="21">
        <v>7.99</v>
      </c>
      <c r="E48" s="21"/>
      <c r="F48" s="21"/>
      <c r="G48" s="22">
        <f>SUM(D48,E48,F48)</f>
        <v>7.99</v>
      </c>
      <c r="H48" s="23">
        <f>AVERAGE(D48,E48,F48)</f>
        <v>7.99</v>
      </c>
      <c r="I48" s="4"/>
      <c r="J48" s="24">
        <v>5.0</v>
      </c>
      <c r="K48" s="25"/>
      <c r="L48" s="26">
        <f>H48*J48</f>
        <v>39.95</v>
      </c>
      <c r="M48" s="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7">
        <f>A47+1</f>
        <v>24</v>
      </c>
      <c r="B49" s="28" t="s">
        <v>83</v>
      </c>
      <c r="C49" s="29"/>
      <c r="D49" s="34" t="s">
        <v>167</v>
      </c>
      <c r="E49" s="30" t="s">
        <v>82</v>
      </c>
      <c r="F49" s="14" t="s">
        <v>85</v>
      </c>
      <c r="G49" s="15"/>
      <c r="H49" s="15"/>
      <c r="I49" s="36"/>
      <c r="J49" s="31"/>
      <c r="K49" s="32"/>
      <c r="L49" s="33"/>
      <c r="M49" s="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8"/>
      <c r="B50" s="19"/>
      <c r="C50" s="20"/>
      <c r="D50" s="21">
        <v>11.8</v>
      </c>
      <c r="E50" s="35"/>
      <c r="F50" s="35"/>
      <c r="G50" s="22">
        <f>SUM(D50,E50,F50)</f>
        <v>11.8</v>
      </c>
      <c r="H50" s="23">
        <f>AVERAGE(D50,E50,F50)</f>
        <v>11.8</v>
      </c>
      <c r="I50" s="4"/>
      <c r="J50" s="24">
        <v>0.5</v>
      </c>
      <c r="K50" s="25"/>
      <c r="L50" s="26">
        <f>H50*J50</f>
        <v>5.9</v>
      </c>
      <c r="M50" s="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27">
        <f>A49+1</f>
        <v>25</v>
      </c>
      <c r="B51" s="28" t="s">
        <v>86</v>
      </c>
      <c r="C51" s="29"/>
      <c r="D51" s="34" t="s">
        <v>248</v>
      </c>
      <c r="E51" s="30" t="s">
        <v>82</v>
      </c>
      <c r="F51" s="14" t="s">
        <v>141</v>
      </c>
      <c r="G51" s="15"/>
      <c r="H51" s="15"/>
      <c r="I51" s="4"/>
      <c r="J51" s="31"/>
      <c r="K51" s="32"/>
      <c r="L51" s="33"/>
      <c r="M51" s="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8"/>
      <c r="B52" s="19"/>
      <c r="C52" s="20"/>
      <c r="D52" s="21">
        <v>18.99</v>
      </c>
      <c r="E52" s="21">
        <v>19.9</v>
      </c>
      <c r="F52" s="21"/>
      <c r="G52" s="22">
        <f>SUM(D52,E52,F52)</f>
        <v>38.89</v>
      </c>
      <c r="H52" s="23">
        <f>AVERAGE(D52,E52,F52)</f>
        <v>19.445</v>
      </c>
      <c r="I52" s="4"/>
      <c r="J52" s="24">
        <v>0.3</v>
      </c>
      <c r="K52" s="25"/>
      <c r="L52" s="26">
        <f>H52*J52</f>
        <v>5.8335</v>
      </c>
      <c r="M52" s="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27">
        <f>A51+1</f>
        <v>26</v>
      </c>
      <c r="B53" s="28" t="s">
        <v>88</v>
      </c>
      <c r="C53" s="29"/>
      <c r="D53" s="34" t="s">
        <v>249</v>
      </c>
      <c r="E53" s="34" t="s">
        <v>184</v>
      </c>
      <c r="F53" s="14" t="s">
        <v>143</v>
      </c>
      <c r="G53" s="15"/>
      <c r="H53" s="15"/>
      <c r="I53" s="4"/>
      <c r="J53" s="31"/>
      <c r="K53" s="32"/>
      <c r="L53" s="33"/>
      <c r="M53" s="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8"/>
      <c r="B54" s="19"/>
      <c r="C54" s="20"/>
      <c r="D54" s="21">
        <v>56.0</v>
      </c>
      <c r="E54" s="21"/>
      <c r="F54" s="21"/>
      <c r="G54" s="22">
        <f>SUM(D54,E54,F54)</f>
        <v>56</v>
      </c>
      <c r="H54" s="23">
        <f>AVERAGE(D54,E54,F54)</f>
        <v>56</v>
      </c>
      <c r="I54" s="4"/>
      <c r="J54" s="37">
        <v>0.5</v>
      </c>
      <c r="K54" s="38"/>
      <c r="L54" s="26">
        <f>H54*J54</f>
        <v>28</v>
      </c>
      <c r="M54" s="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47" t="s">
        <v>106</v>
      </c>
      <c r="B55" s="32"/>
      <c r="C55" s="32"/>
      <c r="D55" s="32"/>
      <c r="E55" s="32"/>
      <c r="F55" s="32"/>
      <c r="G55" s="40"/>
      <c r="H55" s="41">
        <f>SUM(H4:H54)</f>
        <v>402.68</v>
      </c>
      <c r="I55" s="42"/>
      <c r="J55" s="43" t="s">
        <v>6</v>
      </c>
      <c r="K55" s="40"/>
      <c r="L55" s="44">
        <f>SUM(L4:L54)</f>
        <v>1072.966</v>
      </c>
      <c r="M55" s="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45" t="s">
        <v>144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3"/>
      <c r="M56" s="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27">
        <f>A53+1</f>
        <v>27</v>
      </c>
      <c r="B57" s="46" t="s">
        <v>185</v>
      </c>
      <c r="C57" s="29"/>
      <c r="D57" s="30" t="s">
        <v>94</v>
      </c>
      <c r="E57" s="34" t="s">
        <v>186</v>
      </c>
      <c r="F57" s="14" t="s">
        <v>96</v>
      </c>
      <c r="G57" s="15"/>
      <c r="H57" s="15"/>
      <c r="I57" s="16"/>
      <c r="J57" s="31"/>
      <c r="K57" s="32"/>
      <c r="L57" s="33"/>
      <c r="M57" s="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8"/>
      <c r="B58" s="19"/>
      <c r="C58" s="20"/>
      <c r="D58" s="21">
        <v>8.85</v>
      </c>
      <c r="E58" s="21">
        <v>8.85</v>
      </c>
      <c r="F58" s="21"/>
      <c r="G58" s="22">
        <f>SUM(D58,E58,F58)</f>
        <v>17.7</v>
      </c>
      <c r="H58" s="23">
        <f>AVERAGE(D58,E58,F58)</f>
        <v>8.85</v>
      </c>
      <c r="I58" s="4"/>
      <c r="J58" s="24">
        <v>4.0</v>
      </c>
      <c r="K58" s="25"/>
      <c r="L58" s="26">
        <f>H58*J58</f>
        <v>35.4</v>
      </c>
      <c r="M58" s="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27">
        <f>A57+1</f>
        <v>28</v>
      </c>
      <c r="B59" s="28" t="s">
        <v>97</v>
      </c>
      <c r="C59" s="29"/>
      <c r="D59" s="30" t="s">
        <v>99</v>
      </c>
      <c r="E59" s="30" t="s">
        <v>104</v>
      </c>
      <c r="F59" s="14" t="s">
        <v>33</v>
      </c>
      <c r="G59" s="15"/>
      <c r="H59" s="15"/>
      <c r="I59" s="4"/>
      <c r="J59" s="31"/>
      <c r="K59" s="32"/>
      <c r="L59" s="33"/>
      <c r="M59" s="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8"/>
      <c r="B60" s="19"/>
      <c r="C60" s="20"/>
      <c r="D60" s="21">
        <v>3.45</v>
      </c>
      <c r="E60" s="21"/>
      <c r="F60" s="35"/>
      <c r="G60" s="22">
        <f>SUM(D60,E60,F60)</f>
        <v>3.45</v>
      </c>
      <c r="H60" s="23">
        <f>AVERAGE(D60,E60,F60)</f>
        <v>3.45</v>
      </c>
      <c r="I60" s="4"/>
      <c r="J60" s="24">
        <v>15.0</v>
      </c>
      <c r="K60" s="25"/>
      <c r="L60" s="26">
        <f>H60*J60</f>
        <v>51.75</v>
      </c>
      <c r="M60" s="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27">
        <f>A59+1</f>
        <v>29</v>
      </c>
      <c r="B61" s="28" t="s">
        <v>100</v>
      </c>
      <c r="C61" s="29"/>
      <c r="D61" s="30" t="s">
        <v>99</v>
      </c>
      <c r="E61" s="34" t="s">
        <v>149</v>
      </c>
      <c r="F61" s="13" t="s">
        <v>148</v>
      </c>
      <c r="G61" s="15"/>
      <c r="H61" s="15"/>
      <c r="I61" s="4"/>
      <c r="J61" s="31"/>
      <c r="K61" s="32"/>
      <c r="L61" s="33"/>
      <c r="M61" s="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8"/>
      <c r="B62" s="19"/>
      <c r="C62" s="20"/>
      <c r="D62" s="21"/>
      <c r="E62" s="21">
        <v>3.99</v>
      </c>
      <c r="F62" s="21"/>
      <c r="G62" s="22">
        <f>SUM(D62,E62,F62)</f>
        <v>3.99</v>
      </c>
      <c r="H62" s="23">
        <f>AVERAGE(D62,E62,F62)</f>
        <v>3.99</v>
      </c>
      <c r="I62" s="4"/>
      <c r="J62" s="24">
        <v>2.0</v>
      </c>
      <c r="K62" s="25"/>
      <c r="L62" s="26">
        <f>H62*J62</f>
        <v>7.98</v>
      </c>
      <c r="M62" s="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7">
        <f>A61+1</f>
        <v>30</v>
      </c>
      <c r="B63" s="28" t="s">
        <v>103</v>
      </c>
      <c r="C63" s="29"/>
      <c r="D63" s="30" t="s">
        <v>99</v>
      </c>
      <c r="E63" s="30" t="s">
        <v>104</v>
      </c>
      <c r="F63" s="14" t="s">
        <v>105</v>
      </c>
      <c r="G63" s="15"/>
      <c r="H63" s="15"/>
      <c r="I63" s="4"/>
      <c r="J63" s="31"/>
      <c r="K63" s="32"/>
      <c r="L63" s="33"/>
      <c r="M63" s="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8"/>
      <c r="B64" s="19"/>
      <c r="C64" s="20"/>
      <c r="D64" s="21">
        <v>2.99</v>
      </c>
      <c r="E64" s="35"/>
      <c r="F64" s="21"/>
      <c r="G64" s="22">
        <f>SUM(D64,E64,F64)</f>
        <v>2.99</v>
      </c>
      <c r="H64" s="23">
        <f>AVERAGE(D64,E64,F64)</f>
        <v>2.99</v>
      </c>
      <c r="I64" s="4"/>
      <c r="J64" s="24">
        <v>2.0</v>
      </c>
      <c r="K64" s="25"/>
      <c r="L64" s="26">
        <f>H64*J64</f>
        <v>5.98</v>
      </c>
      <c r="M64" s="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47" t="s">
        <v>106</v>
      </c>
      <c r="B65" s="32"/>
      <c r="C65" s="32"/>
      <c r="D65" s="32"/>
      <c r="E65" s="32"/>
      <c r="F65" s="32"/>
      <c r="G65" s="40"/>
      <c r="H65" s="41">
        <f>SUM(H57:H64)</f>
        <v>19.28</v>
      </c>
      <c r="I65" s="42"/>
      <c r="J65" s="43" t="s">
        <v>6</v>
      </c>
      <c r="K65" s="40"/>
      <c r="L65" s="44">
        <f>SUM(L57:L64)</f>
        <v>101.11</v>
      </c>
      <c r="M65" s="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45" t="s">
        <v>107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3"/>
      <c r="M66" s="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7">
        <f>A63+1</f>
        <v>31</v>
      </c>
      <c r="B67" s="28" t="s">
        <v>108</v>
      </c>
      <c r="C67" s="29"/>
      <c r="D67" s="34" t="s">
        <v>149</v>
      </c>
      <c r="E67" s="34" t="s">
        <v>250</v>
      </c>
      <c r="F67" s="14" t="s">
        <v>150</v>
      </c>
      <c r="G67" s="15"/>
      <c r="H67" s="15"/>
      <c r="I67" s="16"/>
      <c r="J67" s="31"/>
      <c r="K67" s="32"/>
      <c r="L67" s="33"/>
      <c r="M67" s="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8"/>
      <c r="B68" s="19"/>
      <c r="C68" s="20"/>
      <c r="D68" s="21">
        <v>8.68</v>
      </c>
      <c r="E68" s="21">
        <v>8.68</v>
      </c>
      <c r="F68" s="35"/>
      <c r="G68" s="22">
        <f>SUM(D68,E68,F68)</f>
        <v>17.36</v>
      </c>
      <c r="H68" s="23">
        <f>AVERAGE(D68,E68,F68)</f>
        <v>8.68</v>
      </c>
      <c r="I68" s="4"/>
      <c r="J68" s="24">
        <v>3.0</v>
      </c>
      <c r="K68" s="25"/>
      <c r="L68" s="26">
        <f>H68*J68</f>
        <v>26.04</v>
      </c>
      <c r="M68" s="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7">
        <f>A67+1</f>
        <v>32</v>
      </c>
      <c r="B69" s="28" t="s">
        <v>112</v>
      </c>
      <c r="C69" s="29"/>
      <c r="D69" s="30" t="s">
        <v>113</v>
      </c>
      <c r="E69" s="30" t="s">
        <v>114</v>
      </c>
      <c r="F69" s="14" t="s">
        <v>33</v>
      </c>
      <c r="G69" s="15"/>
      <c r="H69" s="15"/>
      <c r="I69" s="4"/>
      <c r="J69" s="31"/>
      <c r="K69" s="32"/>
      <c r="L69" s="33"/>
      <c r="M69" s="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8"/>
      <c r="B70" s="19"/>
      <c r="C70" s="20"/>
      <c r="D70" s="21">
        <v>3.98</v>
      </c>
      <c r="E70" s="21">
        <v>3.0</v>
      </c>
      <c r="F70" s="35"/>
      <c r="G70" s="22">
        <f>SUM(D70,E70,F70)</f>
        <v>6.98</v>
      </c>
      <c r="H70" s="23">
        <f>AVERAGE(D70,E70,F70)</f>
        <v>3.49</v>
      </c>
      <c r="I70" s="4"/>
      <c r="J70" s="24">
        <v>2.0</v>
      </c>
      <c r="K70" s="25"/>
      <c r="L70" s="26">
        <f>H70*J70</f>
        <v>6.98</v>
      </c>
      <c r="M70" s="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7">
        <f>A69+1</f>
        <v>33</v>
      </c>
      <c r="B71" s="28" t="s">
        <v>115</v>
      </c>
      <c r="C71" s="29"/>
      <c r="D71" s="34" t="s">
        <v>116</v>
      </c>
      <c r="E71" s="30" t="s">
        <v>117</v>
      </c>
      <c r="F71" s="13" t="s">
        <v>118</v>
      </c>
      <c r="G71" s="15"/>
      <c r="H71" s="15"/>
      <c r="I71" s="4"/>
      <c r="J71" s="31"/>
      <c r="K71" s="32"/>
      <c r="L71" s="33"/>
      <c r="M71" s="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8"/>
      <c r="B72" s="19"/>
      <c r="C72" s="20"/>
      <c r="D72" s="21">
        <v>2.69</v>
      </c>
      <c r="E72" s="21">
        <v>2.69</v>
      </c>
      <c r="F72" s="21"/>
      <c r="G72" s="22">
        <f>SUM(D72,E72,F72)</f>
        <v>5.38</v>
      </c>
      <c r="H72" s="23">
        <f>AVERAGE(D72,E72,F72)</f>
        <v>2.69</v>
      </c>
      <c r="I72" s="4"/>
      <c r="J72" s="24">
        <v>10.0</v>
      </c>
      <c r="K72" s="25"/>
      <c r="L72" s="26">
        <f>H72*J72</f>
        <v>26.9</v>
      </c>
      <c r="M72" s="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7">
        <f>A71+1</f>
        <v>34</v>
      </c>
      <c r="B73" s="28" t="s">
        <v>119</v>
      </c>
      <c r="C73" s="29"/>
      <c r="D73" s="34" t="s">
        <v>120</v>
      </c>
      <c r="E73" s="34" t="s">
        <v>152</v>
      </c>
      <c r="F73" s="14" t="s">
        <v>33</v>
      </c>
      <c r="G73" s="15"/>
      <c r="H73" s="15"/>
      <c r="I73" s="4"/>
      <c r="J73" s="31"/>
      <c r="K73" s="32"/>
      <c r="L73" s="33"/>
      <c r="M73" s="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8"/>
      <c r="B74" s="19"/>
      <c r="C74" s="20"/>
      <c r="D74" s="21">
        <v>17.99</v>
      </c>
      <c r="E74" s="21">
        <v>17.99</v>
      </c>
      <c r="F74" s="35"/>
      <c r="G74" s="22">
        <f>SUM(D74,E74,F74)</f>
        <v>35.98</v>
      </c>
      <c r="H74" s="23">
        <f>AVERAGE(D74,E74,F74)</f>
        <v>17.99</v>
      </c>
      <c r="I74" s="4"/>
      <c r="J74" s="24">
        <v>2.0</v>
      </c>
      <c r="K74" s="25"/>
      <c r="L74" s="26">
        <f>H74*J74</f>
        <v>35.98</v>
      </c>
      <c r="M74" s="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7">
        <f>A73+1</f>
        <v>35</v>
      </c>
      <c r="B75" s="28" t="s">
        <v>122</v>
      </c>
      <c r="C75" s="29"/>
      <c r="D75" s="30" t="s">
        <v>123</v>
      </c>
      <c r="E75" s="30" t="s">
        <v>124</v>
      </c>
      <c r="F75" s="14" t="s">
        <v>33</v>
      </c>
      <c r="G75" s="15"/>
      <c r="H75" s="15"/>
      <c r="I75" s="4"/>
      <c r="J75" s="31"/>
      <c r="K75" s="32"/>
      <c r="L75" s="33"/>
      <c r="M75" s="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8"/>
      <c r="B76" s="19"/>
      <c r="C76" s="20"/>
      <c r="D76" s="21">
        <v>3.99</v>
      </c>
      <c r="E76" s="21">
        <v>3.89</v>
      </c>
      <c r="F76" s="35"/>
      <c r="G76" s="22">
        <f>SUM(D76,E76,F76)</f>
        <v>7.88</v>
      </c>
      <c r="H76" s="23">
        <f>AVERAGE(D76,E76,F76)</f>
        <v>3.94</v>
      </c>
      <c r="I76" s="4"/>
      <c r="J76" s="24">
        <v>1.0</v>
      </c>
      <c r="K76" s="25"/>
      <c r="L76" s="26">
        <f>H76*J76</f>
        <v>3.94</v>
      </c>
      <c r="M76" s="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47" t="s">
        <v>106</v>
      </c>
      <c r="B77" s="32"/>
      <c r="C77" s="32"/>
      <c r="D77" s="32"/>
      <c r="E77" s="32"/>
      <c r="F77" s="32"/>
      <c r="G77" s="40"/>
      <c r="H77" s="48">
        <f>SUM(H68:H76)</f>
        <v>36.79</v>
      </c>
      <c r="I77" s="42"/>
      <c r="J77" s="43" t="s">
        <v>6</v>
      </c>
      <c r="K77" s="40"/>
      <c r="L77" s="49">
        <f>SUM(L68:L76)</f>
        <v>99.84</v>
      </c>
      <c r="M77" s="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0"/>
      <c r="B78" s="51"/>
      <c r="C78" s="51"/>
      <c r="D78" s="51"/>
      <c r="E78" s="51"/>
      <c r="F78" s="51"/>
      <c r="G78" s="51"/>
      <c r="H78" s="52"/>
      <c r="I78" s="4"/>
      <c r="J78" s="51"/>
      <c r="K78" s="51"/>
      <c r="L78" s="53"/>
      <c r="M78" s="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0"/>
      <c r="B79" s="51"/>
      <c r="C79" s="51"/>
      <c r="D79" s="51"/>
      <c r="E79" s="51"/>
      <c r="F79" s="51"/>
      <c r="G79" s="51"/>
      <c r="H79" s="52"/>
      <c r="I79" s="4"/>
      <c r="J79" s="51"/>
      <c r="K79" s="51"/>
      <c r="L79" s="53"/>
      <c r="M79" s="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0"/>
      <c r="B80" s="51"/>
      <c r="C80" s="51"/>
      <c r="D80" s="51"/>
      <c r="E80" s="51"/>
      <c r="F80" s="51"/>
      <c r="G80" s="54" t="s">
        <v>6</v>
      </c>
      <c r="H80" s="48">
        <f>H55+H65+H77</f>
        <v>458.75</v>
      </c>
      <c r="I80" s="4"/>
      <c r="J80" s="4"/>
      <c r="K80" s="54" t="s">
        <v>6</v>
      </c>
      <c r="L80" s="49">
        <f>L55+L65+L77</f>
        <v>1273.916</v>
      </c>
      <c r="M80" s="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5"/>
      <c r="B81" s="56"/>
      <c r="C81" s="56"/>
      <c r="D81" s="56"/>
      <c r="E81" s="56"/>
      <c r="F81" s="56"/>
      <c r="G81" s="56"/>
      <c r="H81" s="57"/>
      <c r="I81" s="58"/>
      <c r="J81" s="56"/>
      <c r="K81" s="56"/>
      <c r="L81" s="59"/>
      <c r="M81" s="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1"/>
      <c r="B82" s="51"/>
      <c r="C82" s="51"/>
      <c r="D82" s="51"/>
      <c r="E82" s="51"/>
      <c r="F82" s="51"/>
      <c r="G82" s="51"/>
      <c r="H82" s="52"/>
      <c r="I82" s="4"/>
      <c r="J82" s="51"/>
      <c r="K82" s="51"/>
      <c r="L82" s="52"/>
      <c r="M82" s="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1"/>
      <c r="B83" s="51"/>
      <c r="C83" s="51"/>
      <c r="D83" s="51"/>
      <c r="E83" s="51"/>
      <c r="F83" s="51"/>
      <c r="G83" s="51"/>
      <c r="H83" s="52"/>
      <c r="I83" s="4"/>
      <c r="J83" s="51"/>
      <c r="K83" s="51"/>
      <c r="L83" s="52"/>
      <c r="M83" s="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07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9"/>
    </row>
    <row r="2">
      <c r="A2" s="110" t="s">
        <v>251</v>
      </c>
      <c r="B2" s="65"/>
      <c r="C2" s="65"/>
      <c r="D2" s="65"/>
      <c r="E2" s="66"/>
      <c r="F2" s="111" t="s">
        <v>1</v>
      </c>
      <c r="G2" s="65"/>
      <c r="H2" s="65"/>
      <c r="I2" s="65"/>
      <c r="J2" s="65"/>
      <c r="K2" s="65"/>
      <c r="L2" s="66"/>
    </row>
    <row r="3">
      <c r="A3" s="112">
        <v>1.0</v>
      </c>
      <c r="B3" s="113" t="s">
        <v>2</v>
      </c>
      <c r="C3" s="12"/>
      <c r="D3" s="114" t="s">
        <v>3</v>
      </c>
      <c r="E3" s="114" t="s">
        <v>4</v>
      </c>
      <c r="F3" s="114" t="s">
        <v>252</v>
      </c>
      <c r="G3" s="115" t="s">
        <v>6</v>
      </c>
      <c r="H3" s="115" t="s">
        <v>7</v>
      </c>
      <c r="I3" s="116"/>
      <c r="J3" s="114" t="s">
        <v>8</v>
      </c>
      <c r="K3" s="114" t="s">
        <v>9</v>
      </c>
      <c r="L3" s="117" t="s">
        <v>10</v>
      </c>
    </row>
    <row r="4">
      <c r="A4" s="18"/>
      <c r="B4" s="74"/>
      <c r="C4" s="20"/>
      <c r="D4" s="118">
        <v>29.9</v>
      </c>
      <c r="E4" s="119">
        <v>31.0</v>
      </c>
      <c r="F4" s="118">
        <v>35.9</v>
      </c>
      <c r="G4" s="120">
        <f>SUM(D4,E4,F4)</f>
        <v>96.8</v>
      </c>
      <c r="H4" s="121">
        <f>AVERAGE(D4,E4,F4)</f>
        <v>32.26666667</v>
      </c>
      <c r="I4" s="116"/>
      <c r="J4" s="122">
        <v>3.0</v>
      </c>
      <c r="K4" s="123" t="s">
        <v>11</v>
      </c>
      <c r="L4" s="124">
        <f>H4*J4</f>
        <v>96.8</v>
      </c>
    </row>
    <row r="5">
      <c r="A5" s="112">
        <f>A3+1</f>
        <v>2</v>
      </c>
      <c r="B5" s="113" t="s">
        <v>12</v>
      </c>
      <c r="C5" s="12"/>
      <c r="D5" s="114" t="s">
        <v>253</v>
      </c>
      <c r="E5" s="114" t="s">
        <v>3</v>
      </c>
      <c r="F5" s="114" t="s">
        <v>127</v>
      </c>
      <c r="G5" s="125"/>
      <c r="H5" s="125"/>
      <c r="I5" s="116"/>
      <c r="J5" s="126"/>
      <c r="K5" s="74"/>
      <c r="L5" s="82"/>
    </row>
    <row r="6">
      <c r="A6" s="18"/>
      <c r="B6" s="74"/>
      <c r="C6" s="20"/>
      <c r="D6" s="118">
        <v>7.49</v>
      </c>
      <c r="E6" s="118">
        <v>5.69</v>
      </c>
      <c r="F6" s="127">
        <v>5.69</v>
      </c>
      <c r="G6" s="127">
        <f>SUM(D6,E6,F6)</f>
        <v>18.87</v>
      </c>
      <c r="H6" s="121">
        <f>AVERAGE(D6,E6,F6)</f>
        <v>6.29</v>
      </c>
      <c r="I6" s="116"/>
      <c r="J6" s="122">
        <v>4.0</v>
      </c>
      <c r="K6" s="128"/>
      <c r="L6" s="124">
        <f>H6*J6</f>
        <v>25.16</v>
      </c>
    </row>
    <row r="7">
      <c r="A7" s="112">
        <f>A5+1</f>
        <v>3</v>
      </c>
      <c r="B7" s="113" t="s">
        <v>15</v>
      </c>
      <c r="C7" s="12"/>
      <c r="D7" s="114" t="s">
        <v>16</v>
      </c>
      <c r="E7" s="114" t="s">
        <v>129</v>
      </c>
      <c r="F7" s="114" t="s">
        <v>18</v>
      </c>
      <c r="G7" s="125"/>
      <c r="H7" s="125"/>
      <c r="I7" s="116"/>
      <c r="J7" s="126"/>
      <c r="K7" s="74"/>
      <c r="L7" s="82"/>
    </row>
    <row r="8">
      <c r="A8" s="18"/>
      <c r="B8" s="74"/>
      <c r="C8" s="20"/>
      <c r="D8" s="118">
        <v>17.9</v>
      </c>
      <c r="E8" s="129">
        <v>17.0</v>
      </c>
      <c r="F8" s="130"/>
      <c r="G8" s="127">
        <f>SUM(D8,E8,F8)</f>
        <v>34.9</v>
      </c>
      <c r="H8" s="121">
        <f>AVERAGE(D8,E8,F8)</f>
        <v>17.45</v>
      </c>
      <c r="I8" s="116"/>
      <c r="J8" s="122">
        <v>2.0</v>
      </c>
      <c r="K8" s="128"/>
      <c r="L8" s="124">
        <f>H8*J8</f>
        <v>34.9</v>
      </c>
    </row>
    <row r="9">
      <c r="A9" s="112">
        <f>A7+1</f>
        <v>4</v>
      </c>
      <c r="B9" s="113" t="s">
        <v>19</v>
      </c>
      <c r="C9" s="12"/>
      <c r="D9" s="114" t="s">
        <v>20</v>
      </c>
      <c r="E9" s="114" t="s">
        <v>21</v>
      </c>
      <c r="F9" s="114" t="s">
        <v>130</v>
      </c>
      <c r="G9" s="125"/>
      <c r="H9" s="125"/>
      <c r="I9" s="116"/>
      <c r="J9" s="126"/>
      <c r="K9" s="74"/>
      <c r="L9" s="82"/>
    </row>
    <row r="10">
      <c r="A10" s="18"/>
      <c r="B10" s="74"/>
      <c r="C10" s="20"/>
      <c r="D10" s="118">
        <v>24.98</v>
      </c>
      <c r="E10" s="118">
        <v>23.9</v>
      </c>
      <c r="F10" s="131">
        <v>22.0</v>
      </c>
      <c r="G10" s="127">
        <f>SUM(D10,E10,F10)</f>
        <v>70.88</v>
      </c>
      <c r="H10" s="121">
        <f>AVERAGE(D10,E10,F10)</f>
        <v>23.62666667</v>
      </c>
      <c r="I10" s="116"/>
      <c r="J10" s="122">
        <v>3.0</v>
      </c>
      <c r="K10" s="128"/>
      <c r="L10" s="124">
        <f>H10*J10</f>
        <v>70.88</v>
      </c>
    </row>
    <row r="11">
      <c r="A11" s="112">
        <f>A9+1</f>
        <v>5</v>
      </c>
      <c r="B11" s="113" t="s">
        <v>23</v>
      </c>
      <c r="C11" s="12"/>
      <c r="D11" s="114" t="s">
        <v>24</v>
      </c>
      <c r="E11" s="114" t="s">
        <v>25</v>
      </c>
      <c r="F11" s="114" t="s">
        <v>26</v>
      </c>
      <c r="G11" s="125"/>
      <c r="H11" s="125"/>
      <c r="I11" s="116"/>
      <c r="J11" s="126"/>
      <c r="K11" s="74"/>
      <c r="L11" s="82"/>
    </row>
    <row r="12">
      <c r="A12" s="18"/>
      <c r="B12" s="74"/>
      <c r="C12" s="20"/>
      <c r="D12" s="132">
        <v>4.59</v>
      </c>
      <c r="E12" s="131">
        <v>5.0</v>
      </c>
      <c r="F12" s="118">
        <v>4.59</v>
      </c>
      <c r="G12" s="127">
        <f>SUM(D12,E12,F12)</f>
        <v>14.18</v>
      </c>
      <c r="H12" s="121">
        <f>AVERAGE(D12,E12,F12)</f>
        <v>4.726666667</v>
      </c>
      <c r="I12" s="116"/>
      <c r="J12" s="122">
        <v>3.0</v>
      </c>
      <c r="K12" s="128"/>
      <c r="L12" s="124">
        <f>H12*J12</f>
        <v>14.18</v>
      </c>
    </row>
    <row r="13">
      <c r="A13" s="112">
        <f>A11+1</f>
        <v>6</v>
      </c>
      <c r="B13" s="113" t="s">
        <v>27</v>
      </c>
      <c r="C13" s="12"/>
      <c r="D13" s="114" t="s">
        <v>28</v>
      </c>
      <c r="E13" s="114" t="s">
        <v>133</v>
      </c>
      <c r="F13" s="114" t="s">
        <v>30</v>
      </c>
      <c r="G13" s="125"/>
      <c r="H13" s="125"/>
      <c r="I13" s="116"/>
      <c r="J13" s="126"/>
      <c r="K13" s="74"/>
      <c r="L13" s="82"/>
    </row>
    <row r="14">
      <c r="A14" s="18"/>
      <c r="B14" s="74"/>
      <c r="C14" s="20"/>
      <c r="D14" s="118">
        <v>5.49</v>
      </c>
      <c r="E14" s="118">
        <v>3.79</v>
      </c>
      <c r="F14" s="129">
        <v>5.0</v>
      </c>
      <c r="G14" s="127">
        <f>SUM(D14,E14,F14)</f>
        <v>14.28</v>
      </c>
      <c r="H14" s="121">
        <f>AVERAGE(D14,E14,F14)</f>
        <v>4.76</v>
      </c>
      <c r="I14" s="116"/>
      <c r="J14" s="122">
        <v>1.0</v>
      </c>
      <c r="K14" s="128"/>
      <c r="L14" s="124">
        <f>H14*J14</f>
        <v>4.76</v>
      </c>
    </row>
    <row r="15">
      <c r="A15" s="112">
        <f>A13+1</f>
        <v>7</v>
      </c>
      <c r="B15" s="113" t="s">
        <v>31</v>
      </c>
      <c r="C15" s="12"/>
      <c r="D15" s="114" t="s">
        <v>32</v>
      </c>
      <c r="E15" s="114" t="s">
        <v>33</v>
      </c>
      <c r="F15" s="114" t="s">
        <v>33</v>
      </c>
      <c r="G15" s="125"/>
      <c r="H15" s="125"/>
      <c r="I15" s="116"/>
      <c r="J15" s="126"/>
      <c r="K15" s="74"/>
      <c r="L15" s="82"/>
    </row>
    <row r="16">
      <c r="A16" s="18"/>
      <c r="B16" s="74"/>
      <c r="C16" s="20"/>
      <c r="D16" s="119">
        <v>2.38</v>
      </c>
      <c r="E16" s="130"/>
      <c r="F16" s="130"/>
      <c r="G16" s="127">
        <f>SUM(D16,E16,F16)</f>
        <v>2.38</v>
      </c>
      <c r="H16" s="121">
        <f>AVERAGE(D16,E16,F16)</f>
        <v>2.38</v>
      </c>
      <c r="I16" s="116"/>
      <c r="J16" s="122">
        <v>4.0</v>
      </c>
      <c r="K16" s="128"/>
      <c r="L16" s="124">
        <f>H16*J16</f>
        <v>9.52</v>
      </c>
    </row>
    <row r="17">
      <c r="A17" s="112">
        <f>A15+1</f>
        <v>8</v>
      </c>
      <c r="B17" s="113" t="s">
        <v>34</v>
      </c>
      <c r="C17" s="12"/>
      <c r="D17" s="114" t="s">
        <v>35</v>
      </c>
      <c r="E17" s="114" t="s">
        <v>33</v>
      </c>
      <c r="F17" s="114" t="s">
        <v>33</v>
      </c>
      <c r="G17" s="125"/>
      <c r="H17" s="125"/>
      <c r="I17" s="116"/>
      <c r="J17" s="126"/>
      <c r="K17" s="74"/>
      <c r="L17" s="82"/>
    </row>
    <row r="18">
      <c r="A18" s="18"/>
      <c r="B18" s="74"/>
      <c r="C18" s="20"/>
      <c r="D18" s="119">
        <v>2.99</v>
      </c>
      <c r="E18" s="130"/>
      <c r="F18" s="130"/>
      <c r="G18" s="127">
        <f>SUM(D18,E18,F18)</f>
        <v>2.99</v>
      </c>
      <c r="H18" s="121">
        <f>AVERAGE(D18,E18,F18)</f>
        <v>2.99</v>
      </c>
      <c r="I18" s="116"/>
      <c r="J18" s="122">
        <v>1.0</v>
      </c>
      <c r="K18" s="128"/>
      <c r="L18" s="124">
        <f>H18*J18</f>
        <v>2.99</v>
      </c>
    </row>
    <row r="19">
      <c r="A19" s="112">
        <f>A17+1</f>
        <v>9</v>
      </c>
      <c r="B19" s="113" t="s">
        <v>36</v>
      </c>
      <c r="C19" s="12"/>
      <c r="D19" s="114" t="s">
        <v>37</v>
      </c>
      <c r="E19" s="114" t="s">
        <v>33</v>
      </c>
      <c r="F19" s="114" t="s">
        <v>33</v>
      </c>
      <c r="G19" s="125"/>
      <c r="H19" s="125"/>
      <c r="I19" s="116"/>
      <c r="J19" s="126"/>
      <c r="K19" s="74"/>
      <c r="L19" s="82"/>
    </row>
    <row r="20">
      <c r="A20" s="18"/>
      <c r="B20" s="74"/>
      <c r="C20" s="20"/>
      <c r="D20" s="118">
        <v>2.48</v>
      </c>
      <c r="E20" s="130"/>
      <c r="F20" s="130"/>
      <c r="G20" s="127">
        <f>SUM(D20,E20,F20)</f>
        <v>2.48</v>
      </c>
      <c r="H20" s="121">
        <f>AVERAGE(D20,E20,F20)</f>
        <v>2.48</v>
      </c>
      <c r="I20" s="116"/>
      <c r="J20" s="122">
        <v>9.0</v>
      </c>
      <c r="K20" s="128"/>
      <c r="L20" s="124">
        <f>H20*J20</f>
        <v>22.32</v>
      </c>
    </row>
    <row r="21">
      <c r="A21" s="112">
        <f>A19+1</f>
        <v>10</v>
      </c>
      <c r="B21" s="113" t="s">
        <v>38</v>
      </c>
      <c r="C21" s="12"/>
      <c r="D21" s="114" t="s">
        <v>39</v>
      </c>
      <c r="E21" s="114" t="s">
        <v>33</v>
      </c>
      <c r="F21" s="114" t="s">
        <v>33</v>
      </c>
      <c r="G21" s="125"/>
      <c r="H21" s="125"/>
      <c r="I21" s="116"/>
      <c r="J21" s="126"/>
      <c r="K21" s="74"/>
      <c r="L21" s="82"/>
    </row>
    <row r="22">
      <c r="A22" s="18"/>
      <c r="B22" s="74"/>
      <c r="C22" s="20"/>
      <c r="D22" s="118">
        <v>18.98</v>
      </c>
      <c r="E22" s="130"/>
      <c r="F22" s="130"/>
      <c r="G22" s="127">
        <f>SUM(D22,E22,F22)</f>
        <v>18.98</v>
      </c>
      <c r="H22" s="121">
        <f>AVERAGE(D22,E22,F22)</f>
        <v>18.98</v>
      </c>
      <c r="I22" s="116"/>
      <c r="J22" s="122">
        <v>0.2</v>
      </c>
      <c r="K22" s="128"/>
      <c r="L22" s="124">
        <f>H22*J22</f>
        <v>3.796</v>
      </c>
    </row>
    <row r="23">
      <c r="A23" s="112">
        <f>A21+1</f>
        <v>11</v>
      </c>
      <c r="B23" s="113" t="s">
        <v>40</v>
      </c>
      <c r="C23" s="12"/>
      <c r="D23" s="114" t="s">
        <v>41</v>
      </c>
      <c r="E23" s="114" t="s">
        <v>42</v>
      </c>
      <c r="F23" s="114" t="s">
        <v>33</v>
      </c>
      <c r="G23" s="125"/>
      <c r="H23" s="125"/>
      <c r="I23" s="116"/>
      <c r="J23" s="126"/>
      <c r="K23" s="74"/>
      <c r="L23" s="82"/>
    </row>
    <row r="24">
      <c r="A24" s="18"/>
      <c r="B24" s="74"/>
      <c r="C24" s="20"/>
      <c r="D24" s="119">
        <v>10.58</v>
      </c>
      <c r="E24" s="130"/>
      <c r="F24" s="130"/>
      <c r="G24" s="127">
        <f>SUM(D24,E24,F24)</f>
        <v>10.58</v>
      </c>
      <c r="H24" s="121">
        <f>AVERAGE(D24,E24,F24)</f>
        <v>10.58</v>
      </c>
      <c r="I24" s="116"/>
      <c r="J24" s="122">
        <v>3.0</v>
      </c>
      <c r="K24" s="128"/>
      <c r="L24" s="124">
        <f>H24*J24</f>
        <v>31.74</v>
      </c>
    </row>
    <row r="25">
      <c r="A25" s="112">
        <f>A23+1</f>
        <v>12</v>
      </c>
      <c r="B25" s="113" t="s">
        <v>43</v>
      </c>
      <c r="C25" s="12"/>
      <c r="D25" s="114" t="s">
        <v>44</v>
      </c>
      <c r="E25" s="114" t="s">
        <v>45</v>
      </c>
      <c r="F25" s="114" t="s">
        <v>46</v>
      </c>
      <c r="G25" s="125"/>
      <c r="H25" s="125"/>
      <c r="I25" s="116"/>
      <c r="J25" s="126"/>
      <c r="K25" s="74"/>
      <c r="L25" s="82"/>
    </row>
    <row r="26">
      <c r="A26" s="18"/>
      <c r="B26" s="74"/>
      <c r="C26" s="20"/>
      <c r="D26" s="119">
        <v>4.4</v>
      </c>
      <c r="E26" s="129">
        <v>5.0</v>
      </c>
      <c r="F26" s="118">
        <v>4.18</v>
      </c>
      <c r="G26" s="127">
        <f>SUM(D26,E26,F26)</f>
        <v>13.58</v>
      </c>
      <c r="H26" s="121">
        <f>AVERAGE(D26,E26,F26)</f>
        <v>4.526666667</v>
      </c>
      <c r="I26" s="116"/>
      <c r="J26" s="122">
        <v>4.0</v>
      </c>
      <c r="K26" s="128"/>
      <c r="L26" s="124">
        <f>H26*J26</f>
        <v>18.10666667</v>
      </c>
    </row>
    <row r="27">
      <c r="A27" s="112">
        <f>A25+1</f>
        <v>13</v>
      </c>
      <c r="B27" s="113" t="s">
        <v>47</v>
      </c>
      <c r="C27" s="12"/>
      <c r="D27" s="114" t="s">
        <v>254</v>
      </c>
      <c r="E27" s="114" t="s">
        <v>90</v>
      </c>
      <c r="F27" s="114" t="s">
        <v>255</v>
      </c>
      <c r="G27" s="125"/>
      <c r="H27" s="125"/>
      <c r="I27" s="116"/>
      <c r="J27" s="126"/>
      <c r="K27" s="74"/>
      <c r="L27" s="82"/>
    </row>
    <row r="28">
      <c r="A28" s="18"/>
      <c r="B28" s="74"/>
      <c r="C28" s="20"/>
      <c r="D28" s="118">
        <v>1.49</v>
      </c>
      <c r="E28" s="118">
        <v>2.29</v>
      </c>
      <c r="F28" s="118"/>
      <c r="G28" s="127">
        <f>SUM(D28,E28,F28)</f>
        <v>3.78</v>
      </c>
      <c r="H28" s="121">
        <f>AVERAGE(D28,E28,F28)</f>
        <v>1.89</v>
      </c>
      <c r="I28" s="116"/>
      <c r="J28" s="122">
        <v>2.0</v>
      </c>
      <c r="K28" s="128"/>
      <c r="L28" s="124">
        <f>H28*J28</f>
        <v>3.78</v>
      </c>
    </row>
    <row r="29">
      <c r="A29" s="112">
        <f>A27+1</f>
        <v>14</v>
      </c>
      <c r="B29" s="113" t="s">
        <v>51</v>
      </c>
      <c r="C29" s="12"/>
      <c r="D29" s="114" t="s">
        <v>52</v>
      </c>
      <c r="E29" s="114" t="s">
        <v>33</v>
      </c>
      <c r="F29" s="114" t="s">
        <v>33</v>
      </c>
      <c r="G29" s="125"/>
      <c r="H29" s="125"/>
      <c r="I29" s="116"/>
      <c r="J29" s="126"/>
      <c r="K29" s="74"/>
      <c r="L29" s="82"/>
    </row>
    <row r="30">
      <c r="A30" s="18"/>
      <c r="B30" s="74"/>
      <c r="C30" s="20"/>
      <c r="D30" s="119">
        <v>14.3</v>
      </c>
      <c r="E30" s="130"/>
      <c r="F30" s="130"/>
      <c r="G30" s="127">
        <f>SUM(D30,E30,F30)</f>
        <v>14.3</v>
      </c>
      <c r="H30" s="121">
        <f>AVERAGE(D30,E30,F30)</f>
        <v>14.3</v>
      </c>
      <c r="I30" s="116"/>
      <c r="J30" s="122">
        <v>6.0</v>
      </c>
      <c r="K30" s="128"/>
      <c r="L30" s="124">
        <f>H30*J30</f>
        <v>85.8</v>
      </c>
    </row>
    <row r="31">
      <c r="A31" s="112">
        <f>A29+1</f>
        <v>15</v>
      </c>
      <c r="B31" s="113" t="s">
        <v>53</v>
      </c>
      <c r="C31" s="12"/>
      <c r="D31" s="114" t="s">
        <v>54</v>
      </c>
      <c r="E31" s="114" t="s">
        <v>55</v>
      </c>
      <c r="F31" s="114" t="s">
        <v>33</v>
      </c>
      <c r="G31" s="125"/>
      <c r="H31" s="125"/>
      <c r="I31" s="116"/>
      <c r="J31" s="126"/>
      <c r="K31" s="74"/>
      <c r="L31" s="82"/>
    </row>
    <row r="32">
      <c r="A32" s="18"/>
      <c r="B32" s="74"/>
      <c r="C32" s="20"/>
      <c r="D32" s="119">
        <v>5.5</v>
      </c>
      <c r="E32" s="129">
        <v>4.0</v>
      </c>
      <c r="F32" s="130"/>
      <c r="G32" s="127">
        <f>SUM(D32,E32,F32)</f>
        <v>9.5</v>
      </c>
      <c r="H32" s="121">
        <f>AVERAGE(D32,E32,F32)</f>
        <v>4.75</v>
      </c>
      <c r="I32" s="116"/>
      <c r="J32" s="122">
        <v>7.5</v>
      </c>
      <c r="K32" s="128"/>
      <c r="L32" s="124">
        <f>H32*J32</f>
        <v>35.625</v>
      </c>
    </row>
    <row r="33">
      <c r="A33" s="112">
        <f>A31+1</f>
        <v>16</v>
      </c>
      <c r="B33" s="113" t="s">
        <v>56</v>
      </c>
      <c r="C33" s="12"/>
      <c r="D33" s="114" t="s">
        <v>57</v>
      </c>
      <c r="E33" s="114" t="s">
        <v>58</v>
      </c>
      <c r="F33" s="114" t="s">
        <v>59</v>
      </c>
      <c r="G33" s="125"/>
      <c r="H33" s="125"/>
      <c r="I33" s="116"/>
      <c r="J33" s="126"/>
      <c r="K33" s="74"/>
      <c r="L33" s="82"/>
    </row>
    <row r="34">
      <c r="A34" s="18"/>
      <c r="B34" s="74"/>
      <c r="C34" s="20"/>
      <c r="D34" s="118">
        <v>7.89</v>
      </c>
      <c r="E34" s="130"/>
      <c r="F34" s="130"/>
      <c r="G34" s="127">
        <f>SUM(D34,E34,F34)</f>
        <v>7.89</v>
      </c>
      <c r="H34" s="121">
        <f>AVERAGE(D34,E34,F34)</f>
        <v>7.89</v>
      </c>
      <c r="I34" s="116"/>
      <c r="J34" s="122">
        <v>5.0</v>
      </c>
      <c r="K34" s="128"/>
      <c r="L34" s="124">
        <f>H34*J34</f>
        <v>39.45</v>
      </c>
    </row>
    <row r="35">
      <c r="A35" s="112">
        <f>A33+1</f>
        <v>17</v>
      </c>
      <c r="B35" s="113" t="s">
        <v>60</v>
      </c>
      <c r="C35" s="12"/>
      <c r="D35" s="114" t="s">
        <v>61</v>
      </c>
      <c r="E35" s="114" t="s">
        <v>62</v>
      </c>
      <c r="F35" s="114" t="s">
        <v>63</v>
      </c>
      <c r="G35" s="125"/>
      <c r="H35" s="125"/>
      <c r="I35" s="116"/>
      <c r="J35" s="126"/>
      <c r="K35" s="74"/>
      <c r="L35" s="82"/>
    </row>
    <row r="36">
      <c r="A36" s="18"/>
      <c r="B36" s="74"/>
      <c r="C36" s="20"/>
      <c r="D36" s="118">
        <v>4.48</v>
      </c>
      <c r="E36" s="118">
        <v>4.98</v>
      </c>
      <c r="F36" s="130"/>
      <c r="G36" s="127">
        <f>SUM(D36,E36,F36)</f>
        <v>9.46</v>
      </c>
      <c r="H36" s="121">
        <f>AVERAGE(D36,E36,F36)</f>
        <v>4.73</v>
      </c>
      <c r="I36" s="116"/>
      <c r="J36" s="122">
        <v>7.5</v>
      </c>
      <c r="K36" s="128"/>
      <c r="L36" s="124">
        <f>H36*J36</f>
        <v>35.475</v>
      </c>
    </row>
    <row r="37">
      <c r="A37" s="112">
        <f>A35+1</f>
        <v>18</v>
      </c>
      <c r="B37" s="113" t="s">
        <v>64</v>
      </c>
      <c r="C37" s="12"/>
      <c r="D37" s="114" t="s">
        <v>61</v>
      </c>
      <c r="E37" s="114" t="s">
        <v>244</v>
      </c>
      <c r="F37" s="114" t="s">
        <v>63</v>
      </c>
      <c r="G37" s="125"/>
      <c r="H37" s="125"/>
      <c r="I37" s="116"/>
      <c r="J37" s="126"/>
      <c r="K37" s="74"/>
      <c r="L37" s="82"/>
    </row>
    <row r="38">
      <c r="A38" s="18"/>
      <c r="B38" s="74"/>
      <c r="C38" s="20"/>
      <c r="D38" s="118">
        <v>16.49</v>
      </c>
      <c r="E38" s="118">
        <v>14.49</v>
      </c>
      <c r="F38" s="130"/>
      <c r="G38" s="127">
        <f>SUM(D38,E38,F38)</f>
        <v>30.98</v>
      </c>
      <c r="H38" s="121">
        <f>AVERAGE(D38,E38,F38)</f>
        <v>15.49</v>
      </c>
      <c r="I38" s="116"/>
      <c r="J38" s="122">
        <v>3.0</v>
      </c>
      <c r="K38" s="128"/>
      <c r="L38" s="124">
        <f>H38*J38</f>
        <v>46.47</v>
      </c>
    </row>
    <row r="39">
      <c r="A39" s="112">
        <f>A37+1</f>
        <v>19</v>
      </c>
      <c r="B39" s="113" t="s">
        <v>66</v>
      </c>
      <c r="C39" s="12"/>
      <c r="D39" s="114" t="s">
        <v>48</v>
      </c>
      <c r="E39" s="114" t="s">
        <v>136</v>
      </c>
      <c r="F39" s="114" t="s">
        <v>26</v>
      </c>
      <c r="G39" s="125"/>
      <c r="H39" s="125"/>
      <c r="I39" s="116"/>
      <c r="J39" s="126"/>
      <c r="K39" s="74"/>
      <c r="L39" s="82"/>
    </row>
    <row r="40">
      <c r="A40" s="18"/>
      <c r="B40" s="74"/>
      <c r="C40" s="20"/>
      <c r="D40" s="118">
        <v>3.49</v>
      </c>
      <c r="E40" s="130"/>
      <c r="F40" s="118">
        <v>3.59</v>
      </c>
      <c r="G40" s="127">
        <f>SUM(D40,E40,F40)</f>
        <v>7.08</v>
      </c>
      <c r="H40" s="121">
        <f>AVERAGE(D40,E40,F40)</f>
        <v>3.54</v>
      </c>
      <c r="I40" s="116"/>
      <c r="J40" s="122">
        <v>4.0</v>
      </c>
      <c r="K40" s="128"/>
      <c r="L40" s="124">
        <f>H40*J40</f>
        <v>14.16</v>
      </c>
    </row>
    <row r="41">
      <c r="A41" s="112">
        <f>A39+1</f>
        <v>20</v>
      </c>
      <c r="B41" s="113" t="s">
        <v>68</v>
      </c>
      <c r="C41" s="12"/>
      <c r="D41" s="114" t="s">
        <v>137</v>
      </c>
      <c r="E41" s="114" t="s">
        <v>70</v>
      </c>
      <c r="F41" s="114" t="s">
        <v>71</v>
      </c>
      <c r="G41" s="125"/>
      <c r="H41" s="125"/>
      <c r="I41" s="116"/>
      <c r="J41" s="126"/>
      <c r="K41" s="74"/>
      <c r="L41" s="82"/>
    </row>
    <row r="42">
      <c r="A42" s="18"/>
      <c r="B42" s="74"/>
      <c r="C42" s="20"/>
      <c r="D42" s="130"/>
      <c r="E42" s="129">
        <v>2.3</v>
      </c>
      <c r="F42" s="118">
        <v>1.98</v>
      </c>
      <c r="G42" s="127">
        <f>SUM(D42,E42,F42)</f>
        <v>4.28</v>
      </c>
      <c r="H42" s="121">
        <f>AVERAGE(D42,E42,F42)</f>
        <v>2.14</v>
      </c>
      <c r="I42" s="116"/>
      <c r="J42" s="122">
        <v>4.0</v>
      </c>
      <c r="K42" s="128"/>
      <c r="L42" s="124">
        <f>H42*J42</f>
        <v>8.56</v>
      </c>
    </row>
    <row r="43">
      <c r="A43" s="112">
        <f>A41+1</f>
        <v>21</v>
      </c>
      <c r="B43" s="113" t="s">
        <v>72</v>
      </c>
      <c r="C43" s="12"/>
      <c r="D43" s="114" t="s">
        <v>73</v>
      </c>
      <c r="E43" s="114" t="s">
        <v>74</v>
      </c>
      <c r="F43" s="114" t="s">
        <v>138</v>
      </c>
      <c r="G43" s="125"/>
      <c r="H43" s="125"/>
      <c r="I43" s="116"/>
      <c r="J43" s="126"/>
      <c r="K43" s="74"/>
      <c r="L43" s="82"/>
    </row>
    <row r="44">
      <c r="A44" s="18"/>
      <c r="B44" s="74"/>
      <c r="C44" s="20"/>
      <c r="D44" s="119">
        <v>49.9</v>
      </c>
      <c r="E44" s="119">
        <v>45.0</v>
      </c>
      <c r="F44" s="130"/>
      <c r="G44" s="127">
        <f>SUM(D44,E44,F44)</f>
        <v>94.9</v>
      </c>
      <c r="H44" s="121">
        <f>AVERAGE(D44,E44,F44)</f>
        <v>47.45</v>
      </c>
      <c r="I44" s="116"/>
      <c r="J44" s="122">
        <v>3.0</v>
      </c>
      <c r="K44" s="128"/>
      <c r="L44" s="124">
        <f>H44*J44</f>
        <v>142.35</v>
      </c>
    </row>
    <row r="45">
      <c r="A45" s="112">
        <f>A43+1</f>
        <v>22</v>
      </c>
      <c r="B45" s="113" t="s">
        <v>76</v>
      </c>
      <c r="C45" s="12"/>
      <c r="D45" s="114" t="s">
        <v>77</v>
      </c>
      <c r="E45" s="114" t="s">
        <v>78</v>
      </c>
      <c r="F45" s="114" t="s">
        <v>139</v>
      </c>
      <c r="G45" s="125"/>
      <c r="H45" s="125"/>
      <c r="I45" s="116"/>
      <c r="J45" s="126"/>
      <c r="K45" s="74"/>
      <c r="L45" s="82"/>
    </row>
    <row r="46">
      <c r="A46" s="18"/>
      <c r="B46" s="74"/>
      <c r="C46" s="20"/>
      <c r="D46" s="118">
        <v>33.9</v>
      </c>
      <c r="E46" s="129">
        <v>28.0</v>
      </c>
      <c r="F46" s="130"/>
      <c r="G46" s="127">
        <f>SUM(D46,E46,F46)</f>
        <v>61.9</v>
      </c>
      <c r="H46" s="121">
        <f>AVERAGE(D46,E46,F46)</f>
        <v>30.95</v>
      </c>
      <c r="I46" s="116"/>
      <c r="J46" s="122">
        <v>4.0</v>
      </c>
      <c r="K46" s="128"/>
      <c r="L46" s="124">
        <f>H46*J46</f>
        <v>123.8</v>
      </c>
    </row>
    <row r="47">
      <c r="A47" s="112">
        <f>A45+1</f>
        <v>23</v>
      </c>
      <c r="B47" s="113" t="s">
        <v>80</v>
      </c>
      <c r="C47" s="12"/>
      <c r="D47" s="114" t="s">
        <v>84</v>
      </c>
      <c r="E47" s="114" t="s">
        <v>82</v>
      </c>
      <c r="F47" s="114" t="s">
        <v>33</v>
      </c>
      <c r="G47" s="125"/>
      <c r="H47" s="125"/>
      <c r="I47" s="116"/>
      <c r="J47" s="126"/>
      <c r="K47" s="74"/>
      <c r="L47" s="82"/>
    </row>
    <row r="48">
      <c r="A48" s="18"/>
      <c r="B48" s="74"/>
      <c r="C48" s="20"/>
      <c r="D48" s="119">
        <v>8.9</v>
      </c>
      <c r="E48" s="129">
        <v>8.9</v>
      </c>
      <c r="F48" s="130"/>
      <c r="G48" s="127">
        <f>SUM(D48,E48,F48)</f>
        <v>17.8</v>
      </c>
      <c r="H48" s="121">
        <f>AVERAGE(D48,E48,F48)</f>
        <v>8.9</v>
      </c>
      <c r="I48" s="116"/>
      <c r="J48" s="122">
        <v>5.0</v>
      </c>
      <c r="K48" s="128"/>
      <c r="L48" s="124">
        <f>H48*J48</f>
        <v>44.5</v>
      </c>
    </row>
    <row r="49">
      <c r="A49" s="112">
        <f>A47+1</f>
        <v>24</v>
      </c>
      <c r="B49" s="113" t="s">
        <v>83</v>
      </c>
      <c r="C49" s="12"/>
      <c r="D49" s="114" t="s">
        <v>84</v>
      </c>
      <c r="E49" s="114" t="s">
        <v>82</v>
      </c>
      <c r="F49" s="114" t="s">
        <v>85</v>
      </c>
      <c r="G49" s="125"/>
      <c r="H49" s="125"/>
      <c r="I49" s="116"/>
      <c r="J49" s="126"/>
      <c r="K49" s="74"/>
      <c r="L49" s="82"/>
    </row>
    <row r="50">
      <c r="A50" s="18"/>
      <c r="B50" s="74"/>
      <c r="C50" s="20"/>
      <c r="D50" s="118">
        <v>11.9</v>
      </c>
      <c r="E50" s="129">
        <v>11.9</v>
      </c>
      <c r="F50" s="130"/>
      <c r="G50" s="127">
        <f>SUM(D50,E50,F50)</f>
        <v>23.8</v>
      </c>
      <c r="H50" s="121">
        <f>AVERAGE(D50,E50,F50)</f>
        <v>11.9</v>
      </c>
      <c r="I50" s="116"/>
      <c r="J50" s="122">
        <v>0.5</v>
      </c>
      <c r="K50" s="128"/>
      <c r="L50" s="124">
        <f>H50*J50</f>
        <v>5.95</v>
      </c>
    </row>
    <row r="51">
      <c r="A51" s="112">
        <f>A49+1</f>
        <v>25</v>
      </c>
      <c r="B51" s="113" t="s">
        <v>86</v>
      </c>
      <c r="C51" s="12"/>
      <c r="D51" s="114" t="s">
        <v>84</v>
      </c>
      <c r="E51" s="114" t="s">
        <v>82</v>
      </c>
      <c r="F51" s="114" t="s">
        <v>141</v>
      </c>
      <c r="G51" s="125"/>
      <c r="H51" s="125"/>
      <c r="I51" s="116"/>
      <c r="J51" s="126"/>
      <c r="K51" s="74"/>
      <c r="L51" s="82"/>
    </row>
    <row r="52">
      <c r="A52" s="18"/>
      <c r="B52" s="74"/>
      <c r="C52" s="20"/>
      <c r="D52" s="118">
        <v>14.1</v>
      </c>
      <c r="E52" s="129">
        <v>16.8</v>
      </c>
      <c r="F52" s="130"/>
      <c r="G52" s="127">
        <f>SUM(D52,E52,F52)</f>
        <v>30.9</v>
      </c>
      <c r="H52" s="121">
        <f>AVERAGE(D52,E52,F52)</f>
        <v>15.45</v>
      </c>
      <c r="I52" s="116"/>
      <c r="J52" s="122">
        <v>0.3</v>
      </c>
      <c r="K52" s="128"/>
      <c r="L52" s="124">
        <f>H52*J52</f>
        <v>4.635</v>
      </c>
    </row>
    <row r="53">
      <c r="A53" s="112">
        <f>A51+1</f>
        <v>26</v>
      </c>
      <c r="B53" s="113" t="s">
        <v>88</v>
      </c>
      <c r="C53" s="12"/>
      <c r="D53" s="114" t="s">
        <v>168</v>
      </c>
      <c r="E53" s="114" t="s">
        <v>90</v>
      </c>
      <c r="F53" s="114" t="s">
        <v>143</v>
      </c>
      <c r="G53" s="125"/>
      <c r="H53" s="125"/>
      <c r="I53" s="116"/>
      <c r="J53" s="126"/>
      <c r="K53" s="74"/>
      <c r="L53" s="82"/>
    </row>
    <row r="54">
      <c r="A54" s="18"/>
      <c r="B54" s="74"/>
      <c r="C54" s="20"/>
      <c r="D54" s="130"/>
      <c r="E54" s="129">
        <v>41.0</v>
      </c>
      <c r="F54" s="118"/>
      <c r="G54" s="127">
        <f>SUM(D54,E54,F54)</f>
        <v>41</v>
      </c>
      <c r="H54" s="121">
        <f>AVERAGE(D54,E54,F54)</f>
        <v>41</v>
      </c>
      <c r="I54" s="128"/>
      <c r="J54" s="122">
        <v>0.5</v>
      </c>
      <c r="K54" s="128"/>
      <c r="L54" s="124">
        <f>H54*J54</f>
        <v>20.5</v>
      </c>
    </row>
    <row r="55">
      <c r="A55" s="133" t="s">
        <v>106</v>
      </c>
      <c r="B55" s="74"/>
      <c r="C55" s="74"/>
      <c r="D55" s="74"/>
      <c r="E55" s="74"/>
      <c r="F55" s="74"/>
      <c r="G55" s="82"/>
      <c r="H55" s="120">
        <f>SUM(H4:H54)</f>
        <v>341.4366667</v>
      </c>
      <c r="I55" s="128"/>
      <c r="J55" s="134" t="s">
        <v>6</v>
      </c>
      <c r="K55" s="20"/>
      <c r="L55" s="135">
        <f>SUM(L4:L54)</f>
        <v>946.2076667</v>
      </c>
    </row>
    <row r="56">
      <c r="A56" s="136" t="s">
        <v>144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82"/>
    </row>
    <row r="57">
      <c r="A57" s="112">
        <f>A53+1</f>
        <v>27</v>
      </c>
      <c r="B57" s="113" t="s">
        <v>145</v>
      </c>
      <c r="C57" s="12"/>
      <c r="D57" s="114" t="s">
        <v>94</v>
      </c>
      <c r="E57" s="114" t="s">
        <v>95</v>
      </c>
      <c r="F57" s="114" t="s">
        <v>96</v>
      </c>
      <c r="G57" s="125"/>
      <c r="H57" s="125"/>
      <c r="I57" s="116"/>
      <c r="J57" s="126"/>
      <c r="K57" s="74"/>
      <c r="L57" s="82"/>
    </row>
    <row r="58">
      <c r="A58" s="18"/>
      <c r="B58" s="74"/>
      <c r="C58" s="20"/>
      <c r="D58" s="118">
        <v>6.6</v>
      </c>
      <c r="E58" s="129">
        <v>5.88</v>
      </c>
      <c r="F58" s="130"/>
      <c r="G58" s="127">
        <f>SUM(D58,E58,F58)</f>
        <v>12.48</v>
      </c>
      <c r="H58" s="121">
        <f>AVERAGE(D58,E58,F58)</f>
        <v>6.24</v>
      </c>
      <c r="I58" s="116"/>
      <c r="J58" s="122">
        <v>4.0</v>
      </c>
      <c r="K58" s="128"/>
      <c r="L58" s="124">
        <f>H58*J58</f>
        <v>24.96</v>
      </c>
    </row>
    <row r="59">
      <c r="A59" s="112">
        <f>A57+1</f>
        <v>28</v>
      </c>
      <c r="B59" s="113" t="s">
        <v>97</v>
      </c>
      <c r="C59" s="12"/>
      <c r="D59" s="114" t="s">
        <v>99</v>
      </c>
      <c r="E59" s="114" t="s">
        <v>104</v>
      </c>
      <c r="F59" s="114" t="s">
        <v>33</v>
      </c>
      <c r="G59" s="125"/>
      <c r="H59" s="125"/>
      <c r="I59" s="116"/>
      <c r="J59" s="126"/>
      <c r="K59" s="74"/>
      <c r="L59" s="82"/>
    </row>
    <row r="60">
      <c r="A60" s="18"/>
      <c r="B60" s="74"/>
      <c r="C60" s="20"/>
      <c r="D60" s="118">
        <v>2.75</v>
      </c>
      <c r="E60" s="129">
        <v>1.99</v>
      </c>
      <c r="F60" s="130"/>
      <c r="G60" s="127">
        <f>SUM(D60,E60,F60)</f>
        <v>4.74</v>
      </c>
      <c r="H60" s="121">
        <f>AVERAGE(D60,E60,F60)</f>
        <v>2.37</v>
      </c>
      <c r="I60" s="116"/>
      <c r="J60" s="122">
        <v>15.0</v>
      </c>
      <c r="K60" s="128"/>
      <c r="L60" s="124">
        <f>H60*J60</f>
        <v>35.55</v>
      </c>
    </row>
    <row r="61">
      <c r="A61" s="112">
        <f>A59+1</f>
        <v>29</v>
      </c>
      <c r="B61" s="113" t="s">
        <v>100</v>
      </c>
      <c r="C61" s="12"/>
      <c r="D61" s="114" t="s">
        <v>99</v>
      </c>
      <c r="E61" s="114" t="s">
        <v>256</v>
      </c>
      <c r="F61" s="114" t="s">
        <v>148</v>
      </c>
      <c r="G61" s="125"/>
      <c r="H61" s="125"/>
      <c r="I61" s="116"/>
      <c r="J61" s="126"/>
      <c r="K61" s="74"/>
      <c r="L61" s="82"/>
    </row>
    <row r="62">
      <c r="A62" s="18"/>
      <c r="B62" s="74"/>
      <c r="C62" s="20"/>
      <c r="D62" s="129">
        <v>2.99</v>
      </c>
      <c r="E62" s="118">
        <v>2.99</v>
      </c>
      <c r="F62" s="130"/>
      <c r="G62" s="127">
        <f>SUM(D62,E62,F62)</f>
        <v>5.98</v>
      </c>
      <c r="H62" s="121">
        <f>AVERAGE(D62,E62,F62)</f>
        <v>2.99</v>
      </c>
      <c r="I62" s="116"/>
      <c r="J62" s="122">
        <v>2.0</v>
      </c>
      <c r="K62" s="128"/>
      <c r="L62" s="124">
        <f>H62*J62</f>
        <v>5.98</v>
      </c>
    </row>
    <row r="63">
      <c r="A63" s="112">
        <f>A61+1</f>
        <v>30</v>
      </c>
      <c r="B63" s="113" t="s">
        <v>103</v>
      </c>
      <c r="C63" s="12"/>
      <c r="D63" s="114" t="s">
        <v>99</v>
      </c>
      <c r="E63" s="114" t="s">
        <v>104</v>
      </c>
      <c r="F63" s="114" t="s">
        <v>105</v>
      </c>
      <c r="G63" s="125"/>
      <c r="H63" s="125"/>
      <c r="I63" s="116"/>
      <c r="J63" s="126"/>
      <c r="K63" s="74"/>
      <c r="L63" s="82"/>
    </row>
    <row r="64">
      <c r="A64" s="18"/>
      <c r="B64" s="74"/>
      <c r="C64" s="20"/>
      <c r="D64" s="118">
        <v>1.99</v>
      </c>
      <c r="E64" s="129">
        <v>2.3</v>
      </c>
      <c r="F64" s="130"/>
      <c r="G64" s="127">
        <f>SUM(D64,E64,F64)</f>
        <v>4.29</v>
      </c>
      <c r="H64" s="121">
        <f>AVERAGE(D64,E64,F64)</f>
        <v>2.145</v>
      </c>
      <c r="I64" s="128"/>
      <c r="J64" s="122">
        <v>2.0</v>
      </c>
      <c r="K64" s="128"/>
      <c r="L64" s="124">
        <f>H64*J64</f>
        <v>4.29</v>
      </c>
    </row>
    <row r="65">
      <c r="A65" s="133" t="s">
        <v>106</v>
      </c>
      <c r="B65" s="74"/>
      <c r="C65" s="74"/>
      <c r="D65" s="74"/>
      <c r="E65" s="74"/>
      <c r="F65" s="74"/>
      <c r="G65" s="82"/>
      <c r="H65" s="120">
        <f>SUM(H57:H64)</f>
        <v>13.745</v>
      </c>
      <c r="I65" s="128"/>
      <c r="J65" s="134" t="s">
        <v>6</v>
      </c>
      <c r="K65" s="20"/>
      <c r="L65" s="135">
        <f>SUM(L57:L64)</f>
        <v>70.78</v>
      </c>
    </row>
    <row r="66">
      <c r="A66" s="136" t="s">
        <v>107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82"/>
    </row>
    <row r="67">
      <c r="A67" s="112">
        <f>A63+1</f>
        <v>31</v>
      </c>
      <c r="B67" s="113" t="s">
        <v>108</v>
      </c>
      <c r="C67" s="12"/>
      <c r="D67" s="114" t="s">
        <v>111</v>
      </c>
      <c r="E67" s="114" t="s">
        <v>149</v>
      </c>
      <c r="F67" s="114" t="s">
        <v>150</v>
      </c>
      <c r="G67" s="125"/>
      <c r="H67" s="125"/>
      <c r="I67" s="116"/>
      <c r="J67" s="126"/>
      <c r="K67" s="74"/>
      <c r="L67" s="82"/>
    </row>
    <row r="68">
      <c r="A68" s="18"/>
      <c r="B68" s="74"/>
      <c r="C68" s="20"/>
      <c r="D68" s="118">
        <v>4.1</v>
      </c>
      <c r="E68" s="130"/>
      <c r="F68" s="130"/>
      <c r="G68" s="127">
        <f>SUM(D68,E68,F68)</f>
        <v>4.1</v>
      </c>
      <c r="H68" s="121">
        <f>AVERAGE(D68,E68,F68)</f>
        <v>4.1</v>
      </c>
      <c r="I68" s="116"/>
      <c r="J68" s="122">
        <v>3.0</v>
      </c>
      <c r="K68" s="128"/>
      <c r="L68" s="124">
        <f>H68*J68</f>
        <v>12.3</v>
      </c>
    </row>
    <row r="69">
      <c r="A69" s="112">
        <f>A67+1</f>
        <v>32</v>
      </c>
      <c r="B69" s="113" t="s">
        <v>112</v>
      </c>
      <c r="C69" s="12"/>
      <c r="D69" s="114" t="s">
        <v>113</v>
      </c>
      <c r="E69" s="114" t="s">
        <v>114</v>
      </c>
      <c r="F69" s="114" t="s">
        <v>33</v>
      </c>
      <c r="G69" s="125"/>
      <c r="H69" s="125"/>
      <c r="I69" s="116"/>
      <c r="J69" s="126"/>
      <c r="K69" s="74"/>
      <c r="L69" s="82"/>
    </row>
    <row r="70">
      <c r="A70" s="18"/>
      <c r="B70" s="74"/>
      <c r="C70" s="20"/>
      <c r="D70" s="118">
        <v>4.99</v>
      </c>
      <c r="E70" s="118">
        <v>4.69</v>
      </c>
      <c r="F70" s="130"/>
      <c r="G70" s="127">
        <f>SUM(D70,E70,F70)</f>
        <v>9.68</v>
      </c>
      <c r="H70" s="121">
        <f>AVERAGE(D70,E70,F70)</f>
        <v>4.84</v>
      </c>
      <c r="I70" s="116"/>
      <c r="J70" s="122">
        <v>2.0</v>
      </c>
      <c r="K70" s="128"/>
      <c r="L70" s="124">
        <f>H70*J70</f>
        <v>9.68</v>
      </c>
    </row>
    <row r="71">
      <c r="A71" s="112">
        <f>A69+1</f>
        <v>33</v>
      </c>
      <c r="B71" s="113" t="s">
        <v>115</v>
      </c>
      <c r="C71" s="12"/>
      <c r="D71" s="114" t="s">
        <v>116</v>
      </c>
      <c r="E71" s="114" t="s">
        <v>117</v>
      </c>
      <c r="F71" s="114" t="s">
        <v>33</v>
      </c>
      <c r="G71" s="125"/>
      <c r="H71" s="125"/>
      <c r="I71" s="116"/>
      <c r="J71" s="126"/>
      <c r="K71" s="74"/>
      <c r="L71" s="82"/>
    </row>
    <row r="72">
      <c r="A72" s="18"/>
      <c r="B72" s="74"/>
      <c r="C72" s="20"/>
      <c r="D72" s="118">
        <v>1.79</v>
      </c>
      <c r="E72" s="118">
        <v>2.39</v>
      </c>
      <c r="F72" s="130"/>
      <c r="G72" s="127">
        <f>SUM(D72,E72,F72)</f>
        <v>4.18</v>
      </c>
      <c r="H72" s="121">
        <f>AVERAGE(D72,E72,F72)</f>
        <v>2.09</v>
      </c>
      <c r="I72" s="116"/>
      <c r="J72" s="122">
        <v>10.0</v>
      </c>
      <c r="K72" s="128"/>
      <c r="L72" s="124">
        <f>H72*J72</f>
        <v>20.9</v>
      </c>
    </row>
    <row r="73">
      <c r="A73" s="112">
        <f>A71+1</f>
        <v>34</v>
      </c>
      <c r="B73" s="113" t="s">
        <v>119</v>
      </c>
      <c r="C73" s="12"/>
      <c r="D73" s="114" t="s">
        <v>120</v>
      </c>
      <c r="E73" s="114" t="s">
        <v>152</v>
      </c>
      <c r="F73" s="114" t="s">
        <v>33</v>
      </c>
      <c r="G73" s="125"/>
      <c r="H73" s="125"/>
      <c r="I73" s="116"/>
      <c r="J73" s="126"/>
      <c r="K73" s="74"/>
      <c r="L73" s="82"/>
    </row>
    <row r="74">
      <c r="A74" s="18"/>
      <c r="B74" s="74"/>
      <c r="C74" s="20"/>
      <c r="D74" s="118">
        <v>13.9</v>
      </c>
      <c r="E74" s="118">
        <v>7.99</v>
      </c>
      <c r="F74" s="130"/>
      <c r="G74" s="127">
        <f>SUM(D74,E74,F74)</f>
        <v>21.89</v>
      </c>
      <c r="H74" s="121">
        <f>AVERAGE(D74,E74,F74)</f>
        <v>10.945</v>
      </c>
      <c r="I74" s="116"/>
      <c r="J74" s="122">
        <v>2.0</v>
      </c>
      <c r="K74" s="128"/>
      <c r="L74" s="124">
        <f>H74*J74</f>
        <v>21.89</v>
      </c>
    </row>
    <row r="75">
      <c r="A75" s="112">
        <f>A73+1</f>
        <v>35</v>
      </c>
      <c r="B75" s="113" t="s">
        <v>122</v>
      </c>
      <c r="C75" s="12"/>
      <c r="D75" s="114" t="s">
        <v>123</v>
      </c>
      <c r="E75" s="114" t="s">
        <v>124</v>
      </c>
      <c r="F75" s="114" t="s">
        <v>33</v>
      </c>
      <c r="G75" s="125"/>
      <c r="H75" s="125"/>
      <c r="I75" s="116"/>
      <c r="J75" s="126"/>
      <c r="K75" s="74"/>
      <c r="L75" s="82"/>
    </row>
    <row r="76">
      <c r="A76" s="18"/>
      <c r="B76" s="74"/>
      <c r="C76" s="20"/>
      <c r="D76" s="118">
        <v>5.39</v>
      </c>
      <c r="E76" s="130"/>
      <c r="F76" s="130"/>
      <c r="G76" s="127">
        <f>SUM(D76,E76,F76)</f>
        <v>5.39</v>
      </c>
      <c r="H76" s="121">
        <f>AVERAGE(D76,E76,F76)</f>
        <v>5.39</v>
      </c>
      <c r="I76" s="128"/>
      <c r="J76" s="122">
        <v>1.0</v>
      </c>
      <c r="K76" s="128"/>
      <c r="L76" s="124">
        <f>H76*J76</f>
        <v>5.39</v>
      </c>
    </row>
    <row r="77">
      <c r="A77" s="133" t="s">
        <v>106</v>
      </c>
      <c r="B77" s="74"/>
      <c r="C77" s="74"/>
      <c r="D77" s="74"/>
      <c r="E77" s="74"/>
      <c r="F77" s="74"/>
      <c r="G77" s="82"/>
      <c r="H77" s="120">
        <f>SUM(H68:H76)</f>
        <v>27.365</v>
      </c>
      <c r="I77" s="128"/>
      <c r="J77" s="134" t="s">
        <v>6</v>
      </c>
      <c r="K77" s="20"/>
      <c r="L77" s="135">
        <f>SUM(L68:L76)</f>
        <v>70.16</v>
      </c>
    </row>
    <row r="78">
      <c r="A78" s="137"/>
      <c r="B78" s="138"/>
      <c r="C78" s="138"/>
      <c r="D78" s="138"/>
      <c r="E78" s="138"/>
      <c r="F78" s="138"/>
      <c r="G78" s="138"/>
      <c r="H78" s="139"/>
      <c r="I78" s="138"/>
      <c r="J78" s="138"/>
      <c r="K78" s="138"/>
      <c r="L78" s="140"/>
    </row>
    <row r="79">
      <c r="A79" s="137"/>
      <c r="B79" s="138"/>
      <c r="C79" s="138"/>
      <c r="D79" s="138"/>
      <c r="E79" s="138"/>
      <c r="F79" s="138"/>
      <c r="G79" s="126"/>
      <c r="H79" s="141"/>
      <c r="I79" s="138"/>
      <c r="J79" s="138"/>
      <c r="K79" s="126"/>
      <c r="L79" s="142"/>
    </row>
    <row r="80">
      <c r="A80" s="137"/>
      <c r="B80" s="138"/>
      <c r="C80" s="138"/>
      <c r="D80" s="138"/>
      <c r="E80" s="138"/>
      <c r="F80" s="116"/>
      <c r="G80" s="143" t="s">
        <v>6</v>
      </c>
      <c r="H80" s="120">
        <f>H55+H65+H77</f>
        <v>382.5466667</v>
      </c>
      <c r="I80" s="138"/>
      <c r="J80" s="116"/>
      <c r="K80" s="143" t="s">
        <v>6</v>
      </c>
      <c r="L80" s="135">
        <f>L55+L65+L77</f>
        <v>1087.147667</v>
      </c>
    </row>
    <row r="81">
      <c r="A81" s="144"/>
      <c r="B81" s="145"/>
      <c r="C81" s="145"/>
      <c r="D81" s="145"/>
      <c r="E81" s="145"/>
      <c r="F81" s="145"/>
      <c r="G81" s="145"/>
      <c r="H81" s="146"/>
      <c r="I81" s="145"/>
      <c r="J81" s="145"/>
      <c r="K81" s="145"/>
      <c r="L81" s="147"/>
    </row>
  </sheetData>
  <mergeCells count="114">
    <mergeCell ref="J35:L35"/>
    <mergeCell ref="J37:L37"/>
    <mergeCell ref="J21:L21"/>
    <mergeCell ref="J23:L23"/>
    <mergeCell ref="J25:L25"/>
    <mergeCell ref="J27:L27"/>
    <mergeCell ref="J29:L29"/>
    <mergeCell ref="J31:L31"/>
    <mergeCell ref="J33:L33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73:A74"/>
    <mergeCell ref="A75:A76"/>
    <mergeCell ref="A57:A58"/>
    <mergeCell ref="A59:A60"/>
    <mergeCell ref="A61:A62"/>
    <mergeCell ref="A63:A64"/>
    <mergeCell ref="A67:A68"/>
    <mergeCell ref="A69:A70"/>
    <mergeCell ref="A71:A72"/>
    <mergeCell ref="J53:L53"/>
    <mergeCell ref="J55:K55"/>
    <mergeCell ref="J39:L39"/>
    <mergeCell ref="J41:L41"/>
    <mergeCell ref="J43:L43"/>
    <mergeCell ref="J45:L45"/>
    <mergeCell ref="J47:L47"/>
    <mergeCell ref="J49:L49"/>
    <mergeCell ref="J51:L51"/>
    <mergeCell ref="J57:L57"/>
    <mergeCell ref="J59:L59"/>
    <mergeCell ref="B43:C44"/>
    <mergeCell ref="B45:C46"/>
    <mergeCell ref="B47:C48"/>
    <mergeCell ref="B49:C50"/>
    <mergeCell ref="B51:C52"/>
    <mergeCell ref="A55:G55"/>
    <mergeCell ref="A56:L56"/>
    <mergeCell ref="J69:L69"/>
    <mergeCell ref="J71:L71"/>
    <mergeCell ref="B73:C74"/>
    <mergeCell ref="J73:L73"/>
    <mergeCell ref="B75:C76"/>
    <mergeCell ref="J75:L75"/>
    <mergeCell ref="A77:G77"/>
    <mergeCell ref="J77:K77"/>
    <mergeCell ref="A65:G65"/>
    <mergeCell ref="J65:K65"/>
    <mergeCell ref="A66:L66"/>
    <mergeCell ref="B67:C68"/>
    <mergeCell ref="J67:L67"/>
    <mergeCell ref="B69:C70"/>
    <mergeCell ref="B71:C72"/>
    <mergeCell ref="A2:E2"/>
    <mergeCell ref="F2:L2"/>
    <mergeCell ref="A3:A4"/>
    <mergeCell ref="B3:C4"/>
    <mergeCell ref="A5:A6"/>
    <mergeCell ref="B5:C6"/>
    <mergeCell ref="J5:L5"/>
    <mergeCell ref="A7:A8"/>
    <mergeCell ref="B7:C8"/>
    <mergeCell ref="A9:A10"/>
    <mergeCell ref="B9:C10"/>
    <mergeCell ref="A11:A12"/>
    <mergeCell ref="B11:C12"/>
    <mergeCell ref="B13:C14"/>
    <mergeCell ref="A13:A14"/>
    <mergeCell ref="A15:A16"/>
    <mergeCell ref="A17:A18"/>
    <mergeCell ref="A19:A20"/>
    <mergeCell ref="A21:A22"/>
    <mergeCell ref="A23:A24"/>
    <mergeCell ref="A25:A26"/>
    <mergeCell ref="B15:C16"/>
    <mergeCell ref="B17:C18"/>
    <mergeCell ref="B19:C20"/>
    <mergeCell ref="B21:C22"/>
    <mergeCell ref="B23:C24"/>
    <mergeCell ref="B25:C26"/>
    <mergeCell ref="B27:C28"/>
    <mergeCell ref="J7:L7"/>
    <mergeCell ref="J9:L9"/>
    <mergeCell ref="J11:L11"/>
    <mergeCell ref="J13:L13"/>
    <mergeCell ref="J15:L15"/>
    <mergeCell ref="J17:L17"/>
    <mergeCell ref="J19:L19"/>
    <mergeCell ref="B29:C30"/>
    <mergeCell ref="B31:C32"/>
    <mergeCell ref="B33:C34"/>
    <mergeCell ref="B35:C36"/>
    <mergeCell ref="B37:C38"/>
    <mergeCell ref="B39:C40"/>
    <mergeCell ref="B41:C42"/>
    <mergeCell ref="B53:C54"/>
    <mergeCell ref="B57:C58"/>
    <mergeCell ref="B59:C60"/>
    <mergeCell ref="B61:C62"/>
    <mergeCell ref="J61:L61"/>
    <mergeCell ref="B63:C64"/>
    <mergeCell ref="J63:L6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14"/>
    <col customWidth="1" min="3" max="3" width="18.57"/>
    <col customWidth="1" min="4" max="10" width="9.14"/>
    <col customWidth="1" min="11" max="11" width="11.71"/>
    <col customWidth="1" min="12" max="13" width="9.14"/>
    <col customWidth="1" min="14" max="26" width="8.71"/>
  </cols>
  <sheetData>
    <row r="1" ht="15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148" t="s">
        <v>257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50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5" t="s">
        <v>258</v>
      </c>
      <c r="B3" s="32"/>
      <c r="C3" s="40"/>
      <c r="D3" s="151" t="s">
        <v>259</v>
      </c>
      <c r="E3" s="32"/>
      <c r="F3" s="32"/>
      <c r="G3" s="40"/>
      <c r="H3" s="152" t="s">
        <v>6</v>
      </c>
      <c r="I3" s="152" t="s">
        <v>7</v>
      </c>
      <c r="J3" s="152"/>
      <c r="K3" s="152" t="s">
        <v>8</v>
      </c>
      <c r="L3" s="152" t="s">
        <v>9</v>
      </c>
      <c r="M3" s="153" t="s">
        <v>6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54">
        <v>1.0</v>
      </c>
      <c r="B4" s="46" t="s">
        <v>260</v>
      </c>
      <c r="C4" s="29"/>
      <c r="D4" s="30" t="s">
        <v>261</v>
      </c>
      <c r="E4" s="30" t="s">
        <v>262</v>
      </c>
      <c r="F4" s="14" t="s">
        <v>263</v>
      </c>
      <c r="G4" s="14"/>
      <c r="H4" s="15"/>
      <c r="I4" s="15"/>
      <c r="J4" s="4"/>
      <c r="K4" s="31"/>
      <c r="L4" s="32"/>
      <c r="M4" s="33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8"/>
      <c r="B5" s="19"/>
      <c r="C5" s="20"/>
      <c r="D5" s="21">
        <v>6.25</v>
      </c>
      <c r="E5" s="21">
        <v>4.27</v>
      </c>
      <c r="F5" s="21">
        <v>6.2</v>
      </c>
      <c r="G5" s="35"/>
      <c r="H5" s="22">
        <f>SUM(D5,E5,F5,G5)</f>
        <v>16.72</v>
      </c>
      <c r="I5" s="23">
        <f>AVERAGE(D5,E5,F5,G5)</f>
        <v>5.573333333</v>
      </c>
      <c r="J5" s="4"/>
      <c r="K5" s="24">
        <v>1.0</v>
      </c>
      <c r="L5" s="25"/>
      <c r="M5" s="26">
        <f>I5*K5</f>
        <v>5.573333333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54">
        <v>2.0</v>
      </c>
      <c r="B6" s="46" t="s">
        <v>264</v>
      </c>
      <c r="C6" s="29"/>
      <c r="D6" s="30" t="s">
        <v>261</v>
      </c>
      <c r="E6" s="30" t="s">
        <v>262</v>
      </c>
      <c r="F6" s="14" t="s">
        <v>263</v>
      </c>
      <c r="G6" s="14"/>
      <c r="H6" s="15"/>
      <c r="I6" s="15"/>
      <c r="J6" s="4"/>
      <c r="K6" s="31"/>
      <c r="L6" s="32"/>
      <c r="M6" s="33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8"/>
      <c r="B7" s="19"/>
      <c r="C7" s="20"/>
      <c r="D7" s="21">
        <v>6.27</v>
      </c>
      <c r="E7" s="21">
        <v>4.27</v>
      </c>
      <c r="F7" s="21">
        <v>6.19</v>
      </c>
      <c r="G7" s="35"/>
      <c r="H7" s="22">
        <f>SUM(D7,E7,F7,G7)</f>
        <v>16.73</v>
      </c>
      <c r="I7" s="23">
        <f>AVERAGE(D7,E7,F7,G7)</f>
        <v>5.576666667</v>
      </c>
      <c r="J7" s="4"/>
      <c r="K7" s="24">
        <v>1.0</v>
      </c>
      <c r="L7" s="25"/>
      <c r="M7" s="26">
        <f>I7*K7</f>
        <v>5.576666667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54">
        <v>3.0</v>
      </c>
      <c r="B8" s="46" t="s">
        <v>265</v>
      </c>
      <c r="C8" s="29"/>
      <c r="D8" s="30" t="s">
        <v>261</v>
      </c>
      <c r="E8" s="30" t="s">
        <v>262</v>
      </c>
      <c r="F8" s="14" t="s">
        <v>263</v>
      </c>
      <c r="G8" s="14"/>
      <c r="H8" s="15"/>
      <c r="I8" s="15"/>
      <c r="J8" s="4"/>
      <c r="K8" s="31"/>
      <c r="L8" s="32"/>
      <c r="M8" s="33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8"/>
      <c r="B9" s="19"/>
      <c r="C9" s="20"/>
      <c r="D9" s="21">
        <v>6.25</v>
      </c>
      <c r="E9" s="21">
        <v>4.22</v>
      </c>
      <c r="F9" s="21">
        <v>6.19</v>
      </c>
      <c r="G9" s="35"/>
      <c r="H9" s="22">
        <f>SUM(D9,E9,F9,G9)</f>
        <v>16.66</v>
      </c>
      <c r="I9" s="23">
        <f>AVERAGE(D9,E9,F9,G9)</f>
        <v>5.553333333</v>
      </c>
      <c r="J9" s="4"/>
      <c r="K9" s="24">
        <v>1.0</v>
      </c>
      <c r="L9" s="25"/>
      <c r="M9" s="26">
        <f>I9*K9</f>
        <v>5.553333333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54">
        <v>4.0</v>
      </c>
      <c r="B10" s="46" t="s">
        <v>266</v>
      </c>
      <c r="C10" s="29"/>
      <c r="D10" s="30" t="s">
        <v>261</v>
      </c>
      <c r="E10" s="30" t="s">
        <v>262</v>
      </c>
      <c r="F10" s="14" t="s">
        <v>263</v>
      </c>
      <c r="G10" s="14"/>
      <c r="H10" s="15"/>
      <c r="I10" s="15"/>
      <c r="J10" s="4"/>
      <c r="K10" s="31"/>
      <c r="L10" s="32"/>
      <c r="M10" s="3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8"/>
      <c r="B11" s="19"/>
      <c r="C11" s="20"/>
      <c r="D11" s="21">
        <v>6.25</v>
      </c>
      <c r="E11" s="21">
        <v>4.26</v>
      </c>
      <c r="F11" s="21">
        <v>6.22</v>
      </c>
      <c r="G11" s="35"/>
      <c r="H11" s="22">
        <f>SUM(D11,E11,F11,G11)</f>
        <v>16.73</v>
      </c>
      <c r="I11" s="23">
        <f>AVERAGE(D11,E11,F11,G11)</f>
        <v>5.576666667</v>
      </c>
      <c r="J11" s="4"/>
      <c r="K11" s="24">
        <v>1.0</v>
      </c>
      <c r="L11" s="25"/>
      <c r="M11" s="26">
        <f>I11*K11</f>
        <v>5.576666667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54">
        <v>5.0</v>
      </c>
      <c r="B12" s="46" t="s">
        <v>267</v>
      </c>
      <c r="C12" s="29"/>
      <c r="D12" s="30" t="s">
        <v>261</v>
      </c>
      <c r="E12" s="30" t="s">
        <v>262</v>
      </c>
      <c r="F12" s="14" t="s">
        <v>263</v>
      </c>
      <c r="G12" s="14"/>
      <c r="H12" s="15"/>
      <c r="I12" s="15"/>
      <c r="J12" s="4"/>
      <c r="K12" s="31"/>
      <c r="L12" s="32"/>
      <c r="M12" s="3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8"/>
      <c r="B13" s="19"/>
      <c r="C13" s="20"/>
      <c r="D13" s="155">
        <v>6.25</v>
      </c>
      <c r="E13" s="155">
        <v>4.26</v>
      </c>
      <c r="F13" s="21">
        <v>6.22</v>
      </c>
      <c r="G13" s="35"/>
      <c r="H13" s="22">
        <f>SUM(D13,E13,F13,G13)</f>
        <v>16.73</v>
      </c>
      <c r="I13" s="23">
        <f>AVERAGE(D13,E13,F13,G13)</f>
        <v>5.576666667</v>
      </c>
      <c r="J13" s="4"/>
      <c r="K13" s="24">
        <v>1.0</v>
      </c>
      <c r="L13" s="25"/>
      <c r="M13" s="26">
        <f>I13*K13</f>
        <v>5.576666667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56">
        <v>6.0</v>
      </c>
      <c r="B14" s="157" t="s">
        <v>268</v>
      </c>
      <c r="C14" s="158"/>
      <c r="D14" s="30" t="s">
        <v>261</v>
      </c>
      <c r="E14" s="30" t="s">
        <v>262</v>
      </c>
      <c r="F14" s="14" t="s">
        <v>263</v>
      </c>
      <c r="G14" s="14"/>
      <c r="H14" s="15"/>
      <c r="I14" s="15"/>
      <c r="J14" s="4"/>
      <c r="K14" s="31"/>
      <c r="L14" s="32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59"/>
      <c r="B15" s="160"/>
      <c r="C15" s="161"/>
      <c r="D15" s="21">
        <v>6.28</v>
      </c>
      <c r="E15" s="21">
        <v>4.25</v>
      </c>
      <c r="F15" s="21">
        <v>6.19</v>
      </c>
      <c r="G15" s="35"/>
      <c r="H15" s="22">
        <f>SUM(D15,E15,F15,G15)</f>
        <v>16.72</v>
      </c>
      <c r="I15" s="23">
        <f>AVERAGE(D15,E15,F15,G15)</f>
        <v>5.573333333</v>
      </c>
      <c r="J15" s="4"/>
      <c r="K15" s="162">
        <v>1.0</v>
      </c>
      <c r="L15" s="38"/>
      <c r="M15" s="163">
        <f>I15*K15</f>
        <v>5.573333333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56">
        <v>7.0</v>
      </c>
      <c r="B16" s="164" t="s">
        <v>269</v>
      </c>
      <c r="C16" s="165"/>
      <c r="D16" s="30" t="s">
        <v>261</v>
      </c>
      <c r="E16" s="30" t="s">
        <v>262</v>
      </c>
      <c r="F16" s="14" t="s">
        <v>263</v>
      </c>
      <c r="G16" s="14"/>
      <c r="H16" s="15"/>
      <c r="I16" s="15"/>
      <c r="J16" s="4"/>
      <c r="K16" s="31"/>
      <c r="L16" s="32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59"/>
      <c r="B17" s="160"/>
      <c r="C17" s="161"/>
      <c r="D17" s="21">
        <v>6.24</v>
      </c>
      <c r="E17" s="21">
        <v>4.25</v>
      </c>
      <c r="F17" s="21">
        <v>6.19</v>
      </c>
      <c r="G17" s="35"/>
      <c r="H17" s="22">
        <f>SUM(D17,E17,F17,G17)</f>
        <v>16.68</v>
      </c>
      <c r="I17" s="23">
        <f>AVERAGE(D17,E17,F17,G17)</f>
        <v>5.56</v>
      </c>
      <c r="J17" s="4"/>
      <c r="K17" s="162">
        <v>1.0</v>
      </c>
      <c r="L17" s="38"/>
      <c r="M17" s="163">
        <f>I17*K17</f>
        <v>5.56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56">
        <v>8.0</v>
      </c>
      <c r="B18" s="164" t="s">
        <v>270</v>
      </c>
      <c r="C18" s="165"/>
      <c r="D18" s="30" t="s">
        <v>261</v>
      </c>
      <c r="E18" s="30" t="s">
        <v>262</v>
      </c>
      <c r="F18" s="14" t="s">
        <v>263</v>
      </c>
      <c r="G18" s="14"/>
      <c r="H18" s="15"/>
      <c r="I18" s="15"/>
      <c r="J18" s="4"/>
      <c r="K18" s="31"/>
      <c r="L18" s="32"/>
      <c r="M18" s="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59"/>
      <c r="B19" s="160"/>
      <c r="C19" s="161"/>
      <c r="D19" s="21">
        <v>6.25</v>
      </c>
      <c r="E19" s="21">
        <v>4.27</v>
      </c>
      <c r="F19" s="21">
        <v>6.19</v>
      </c>
      <c r="G19" s="35"/>
      <c r="H19" s="22">
        <f>SUM(D19,E19,F19,G19)</f>
        <v>16.71</v>
      </c>
      <c r="I19" s="23">
        <f>AVERAGE(D19,E19,F19,G19)</f>
        <v>5.57</v>
      </c>
      <c r="J19" s="4"/>
      <c r="K19" s="162">
        <v>1.0</v>
      </c>
      <c r="L19" s="38"/>
      <c r="M19" s="163">
        <f>I19*K19</f>
        <v>5.57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56">
        <v>9.0</v>
      </c>
      <c r="B20" s="164" t="s">
        <v>271</v>
      </c>
      <c r="C20" s="165"/>
      <c r="D20" s="30" t="s">
        <v>261</v>
      </c>
      <c r="E20" s="30" t="s">
        <v>262</v>
      </c>
      <c r="F20" s="14" t="s">
        <v>263</v>
      </c>
      <c r="G20" s="14"/>
      <c r="H20" s="15"/>
      <c r="I20" s="15"/>
      <c r="J20" s="4"/>
      <c r="K20" s="31"/>
      <c r="L20" s="32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59"/>
      <c r="B21" s="166"/>
      <c r="C21" s="167"/>
      <c r="D21" s="21">
        <v>6.24</v>
      </c>
      <c r="E21" s="21">
        <v>4.28</v>
      </c>
      <c r="F21" s="21">
        <v>6.19</v>
      </c>
      <c r="G21" s="35"/>
      <c r="H21" s="22">
        <f>SUM(D21,E21,F21,G21)</f>
        <v>16.71</v>
      </c>
      <c r="I21" s="23">
        <f>AVERAGE(D23,E23,F23,G23)</f>
        <v>5.576666667</v>
      </c>
      <c r="J21" s="4"/>
      <c r="K21" s="162">
        <v>1.0</v>
      </c>
      <c r="L21" s="38"/>
      <c r="M21" s="163">
        <f>I23*K23</f>
        <v>5.576666667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68">
        <v>10.0</v>
      </c>
      <c r="B22" s="157" t="s">
        <v>272</v>
      </c>
      <c r="C22" s="158"/>
      <c r="D22" s="30" t="s">
        <v>261</v>
      </c>
      <c r="E22" s="30" t="s">
        <v>262</v>
      </c>
      <c r="F22" s="14" t="s">
        <v>263</v>
      </c>
      <c r="G22" s="14"/>
      <c r="H22" s="15"/>
      <c r="I22" s="15"/>
      <c r="J22" s="4"/>
      <c r="K22" s="31"/>
      <c r="L22" s="32"/>
      <c r="M22" s="3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69"/>
      <c r="B23" s="166"/>
      <c r="C23" s="167"/>
      <c r="D23" s="155">
        <v>6.28</v>
      </c>
      <c r="E23" s="155">
        <v>4.25</v>
      </c>
      <c r="F23" s="21">
        <v>6.2</v>
      </c>
      <c r="G23" s="35"/>
      <c r="H23" s="22">
        <f>SUM(D23,E23,F23,G23)</f>
        <v>16.73</v>
      </c>
      <c r="I23" s="23">
        <f>AVERAGE(D23,E23,F23,G23)</f>
        <v>5.576666667</v>
      </c>
      <c r="J23" s="4"/>
      <c r="K23" s="162">
        <v>1.0</v>
      </c>
      <c r="L23" s="38"/>
      <c r="M23" s="163">
        <f>I23*K23</f>
        <v>5.576666667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68">
        <v>11.0</v>
      </c>
      <c r="B24" s="157" t="s">
        <v>273</v>
      </c>
      <c r="C24" s="158"/>
      <c r="D24" s="30" t="s">
        <v>261</v>
      </c>
      <c r="E24" s="30" t="s">
        <v>262</v>
      </c>
      <c r="F24" s="14" t="s">
        <v>263</v>
      </c>
      <c r="G24" s="14"/>
      <c r="H24" s="15"/>
      <c r="I24" s="15"/>
      <c r="J24" s="4"/>
      <c r="K24" s="31"/>
      <c r="L24" s="32"/>
      <c r="M24" s="3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69"/>
      <c r="B25" s="166"/>
      <c r="C25" s="167"/>
      <c r="D25" s="21">
        <v>6.25</v>
      </c>
      <c r="E25" s="21">
        <v>4.25</v>
      </c>
      <c r="F25" s="21">
        <v>6.2</v>
      </c>
      <c r="G25" s="35"/>
      <c r="H25" s="22">
        <f>SUM(D25,E25,F25,G25)</f>
        <v>16.7</v>
      </c>
      <c r="I25" s="23">
        <f>AVERAGE(D25,E25,F25,G25)</f>
        <v>5.566666667</v>
      </c>
      <c r="J25" s="4"/>
      <c r="K25" s="162">
        <v>1.0</v>
      </c>
      <c r="L25" s="38"/>
      <c r="M25" s="163">
        <f>I25*K25</f>
        <v>5.566666667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68">
        <v>12.0</v>
      </c>
      <c r="B26" s="157" t="s">
        <v>274</v>
      </c>
      <c r="C26" s="158"/>
      <c r="D26" s="30" t="s">
        <v>261</v>
      </c>
      <c r="E26" s="30" t="s">
        <v>262</v>
      </c>
      <c r="F26" s="14" t="s">
        <v>263</v>
      </c>
      <c r="G26" s="14"/>
      <c r="H26" s="15"/>
      <c r="I26" s="15"/>
      <c r="J26" s="4"/>
      <c r="K26" s="31"/>
      <c r="L26" s="32"/>
      <c r="M26" s="3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69"/>
      <c r="B27" s="166"/>
      <c r="C27" s="167"/>
      <c r="D27" s="21">
        <v>6.25</v>
      </c>
      <c r="E27" s="21">
        <v>4.27</v>
      </c>
      <c r="F27" s="21">
        <v>6.19</v>
      </c>
      <c r="G27" s="35"/>
      <c r="H27" s="22">
        <f>SUM(D27,E27,F27,G27)</f>
        <v>16.71</v>
      </c>
      <c r="I27" s="23">
        <f>AVERAGE(D27,E27,F27,G27)</f>
        <v>5.57</v>
      </c>
      <c r="J27" s="4"/>
      <c r="K27" s="162">
        <v>1.0</v>
      </c>
      <c r="L27" s="38"/>
      <c r="M27" s="163">
        <f>I27*K27</f>
        <v>5.57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5" t="s">
        <v>106</v>
      </c>
      <c r="B28" s="65"/>
      <c r="C28" s="65"/>
      <c r="D28" s="65"/>
      <c r="E28" s="65"/>
      <c r="F28" s="65"/>
      <c r="G28" s="65"/>
      <c r="H28" s="170"/>
      <c r="I28" s="171">
        <f>SUM(I4:I13)</f>
        <v>27.85666667</v>
      </c>
      <c r="J28" s="172"/>
      <c r="K28" s="173" t="s">
        <v>6</v>
      </c>
      <c r="L28" s="174"/>
      <c r="M28" s="175">
        <f>SUM(M4:M13)</f>
        <v>27.85666667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76"/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77"/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77"/>
      <c r="B33" s="177"/>
      <c r="C33" s="177"/>
      <c r="D33" s="177"/>
      <c r="H33" s="178"/>
      <c r="I33" s="178"/>
      <c r="J33" s="178"/>
      <c r="K33" s="178"/>
      <c r="L33" s="178"/>
      <c r="M33" s="178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79"/>
      <c r="B34" s="180"/>
      <c r="C34" s="180"/>
      <c r="D34" s="181"/>
      <c r="E34" s="181"/>
      <c r="F34" s="181"/>
      <c r="G34" s="181"/>
      <c r="H34" s="182"/>
      <c r="I34" s="182"/>
      <c r="J34" s="182"/>
      <c r="K34" s="183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79"/>
      <c r="B35" s="180"/>
      <c r="C35" s="180"/>
      <c r="D35" s="184"/>
      <c r="E35" s="184"/>
      <c r="F35" s="184"/>
      <c r="G35" s="185"/>
      <c r="H35" s="186"/>
      <c r="I35" s="187"/>
      <c r="J35" s="182"/>
      <c r="K35" s="188"/>
      <c r="L35" s="189"/>
      <c r="M35" s="190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79"/>
      <c r="B36" s="180"/>
      <c r="C36" s="180"/>
      <c r="D36" s="181"/>
      <c r="E36" s="181"/>
      <c r="F36" s="181"/>
      <c r="G36" s="181"/>
      <c r="H36" s="182"/>
      <c r="I36" s="182"/>
      <c r="J36" s="182"/>
      <c r="K36" s="183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79"/>
      <c r="B37" s="180"/>
      <c r="C37" s="180"/>
      <c r="D37" s="184"/>
      <c r="E37" s="184"/>
      <c r="F37" s="184"/>
      <c r="G37" s="185"/>
      <c r="H37" s="186"/>
      <c r="I37" s="187"/>
      <c r="J37" s="182"/>
      <c r="K37" s="188"/>
      <c r="L37" s="189"/>
      <c r="M37" s="190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79"/>
      <c r="B38" s="180"/>
      <c r="C38" s="180"/>
      <c r="D38" s="181"/>
      <c r="E38" s="181"/>
      <c r="F38" s="181"/>
      <c r="G38" s="181"/>
      <c r="H38" s="182"/>
      <c r="I38" s="182"/>
      <c r="J38" s="182"/>
      <c r="K38" s="183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79"/>
      <c r="B39" s="180"/>
      <c r="C39" s="180"/>
      <c r="D39" s="184"/>
      <c r="E39" s="184"/>
      <c r="F39" s="184"/>
      <c r="G39" s="185"/>
      <c r="H39" s="186"/>
      <c r="I39" s="187"/>
      <c r="J39" s="182"/>
      <c r="K39" s="188"/>
      <c r="L39" s="189"/>
      <c r="M39" s="190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79"/>
      <c r="B40" s="180"/>
      <c r="C40" s="180"/>
      <c r="D40" s="181"/>
      <c r="E40" s="181"/>
      <c r="F40" s="181"/>
      <c r="G40" s="181"/>
      <c r="H40" s="182"/>
      <c r="I40" s="182"/>
      <c r="J40" s="182"/>
      <c r="K40" s="183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79"/>
      <c r="B41" s="180"/>
      <c r="C41" s="180"/>
      <c r="D41" s="184"/>
      <c r="E41" s="184"/>
      <c r="F41" s="184"/>
      <c r="G41" s="185"/>
      <c r="H41" s="186"/>
      <c r="I41" s="187"/>
      <c r="J41" s="182"/>
      <c r="K41" s="188"/>
      <c r="L41" s="189"/>
      <c r="M41" s="190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79"/>
      <c r="B42" s="180"/>
      <c r="C42" s="180"/>
      <c r="D42" s="181"/>
      <c r="E42" s="181"/>
      <c r="F42" s="181"/>
      <c r="G42" s="181"/>
      <c r="H42" s="182"/>
      <c r="I42" s="182"/>
      <c r="J42" s="182"/>
      <c r="K42" s="183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79"/>
      <c r="B43" s="180"/>
      <c r="C43" s="180"/>
      <c r="D43" s="184"/>
      <c r="E43" s="184"/>
      <c r="F43" s="184"/>
      <c r="G43" s="185"/>
      <c r="H43" s="186"/>
      <c r="I43" s="187"/>
      <c r="J43" s="182"/>
      <c r="K43" s="188"/>
      <c r="L43" s="189"/>
      <c r="M43" s="190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79"/>
      <c r="B44" s="180"/>
      <c r="C44" s="180"/>
      <c r="D44" s="181"/>
      <c r="E44" s="181"/>
      <c r="F44" s="181"/>
      <c r="G44" s="181"/>
      <c r="H44" s="182"/>
      <c r="I44" s="182"/>
      <c r="J44" s="182"/>
      <c r="K44" s="183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79"/>
      <c r="B45" s="180"/>
      <c r="C45" s="180"/>
      <c r="D45" s="191"/>
      <c r="E45" s="191"/>
      <c r="F45" s="184"/>
      <c r="G45" s="185"/>
      <c r="H45" s="186"/>
      <c r="I45" s="187"/>
      <c r="J45" s="182"/>
      <c r="K45" s="188"/>
      <c r="L45" s="189"/>
      <c r="M45" s="190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79"/>
      <c r="B46" s="180"/>
      <c r="C46" s="180"/>
      <c r="D46" s="181"/>
      <c r="E46" s="181"/>
      <c r="F46" s="181"/>
      <c r="G46" s="181"/>
      <c r="H46" s="182"/>
      <c r="I46" s="182"/>
      <c r="J46" s="182"/>
      <c r="K46" s="183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79"/>
      <c r="B47" s="180"/>
      <c r="C47" s="180"/>
      <c r="D47" s="191"/>
      <c r="E47" s="191"/>
      <c r="F47" s="184"/>
      <c r="G47" s="185"/>
      <c r="H47" s="186"/>
      <c r="I47" s="187"/>
      <c r="J47" s="182"/>
      <c r="K47" s="188"/>
      <c r="L47" s="189"/>
      <c r="M47" s="190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92"/>
      <c r="B48" s="192"/>
      <c r="C48" s="192"/>
      <c r="D48" s="192"/>
      <c r="E48" s="192"/>
      <c r="F48" s="192"/>
      <c r="G48" s="192"/>
      <c r="H48" s="192"/>
      <c r="I48" s="193"/>
      <c r="J48" s="182"/>
      <c r="K48" s="177"/>
      <c r="M48" s="193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76"/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76"/>
      <c r="B50" s="176"/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76"/>
      <c r="B51" s="176"/>
      <c r="C51" s="176"/>
      <c r="D51" s="176"/>
      <c r="E51" s="176"/>
      <c r="F51" s="176"/>
      <c r="G51" s="176"/>
      <c r="H51" s="176"/>
      <c r="I51" s="176"/>
      <c r="J51" s="176"/>
      <c r="K51" s="176"/>
      <c r="L51" s="176"/>
      <c r="M51" s="176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76"/>
      <c r="B53" s="176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76"/>
      <c r="B54" s="176"/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mergeCells count="50">
    <mergeCell ref="A2:M2"/>
    <mergeCell ref="A3:C3"/>
    <mergeCell ref="D3:G3"/>
    <mergeCell ref="A4:A5"/>
    <mergeCell ref="B4:C5"/>
    <mergeCell ref="A6:A7"/>
    <mergeCell ref="B6:C7"/>
    <mergeCell ref="A14:A15"/>
    <mergeCell ref="A16:A17"/>
    <mergeCell ref="A18:A19"/>
    <mergeCell ref="A20:A21"/>
    <mergeCell ref="A22:A23"/>
    <mergeCell ref="A24:A25"/>
    <mergeCell ref="A26:A27"/>
    <mergeCell ref="B16:C17"/>
    <mergeCell ref="B18:C19"/>
    <mergeCell ref="B20:C21"/>
    <mergeCell ref="B22:C23"/>
    <mergeCell ref="B24:C25"/>
    <mergeCell ref="B26:C27"/>
    <mergeCell ref="A28:H28"/>
    <mergeCell ref="D33:G33"/>
    <mergeCell ref="A8:A9"/>
    <mergeCell ref="B8:C9"/>
    <mergeCell ref="A10:A11"/>
    <mergeCell ref="B10:C11"/>
    <mergeCell ref="A12:A13"/>
    <mergeCell ref="B12:C13"/>
    <mergeCell ref="B14:C15"/>
    <mergeCell ref="K4:M4"/>
    <mergeCell ref="K6:M6"/>
    <mergeCell ref="K8:M8"/>
    <mergeCell ref="K10:M10"/>
    <mergeCell ref="K12:M12"/>
    <mergeCell ref="K14:M14"/>
    <mergeCell ref="K16:M16"/>
    <mergeCell ref="K36:M36"/>
    <mergeCell ref="K38:M38"/>
    <mergeCell ref="K40:M40"/>
    <mergeCell ref="K42:M42"/>
    <mergeCell ref="K44:M44"/>
    <mergeCell ref="K46:M46"/>
    <mergeCell ref="K48:L48"/>
    <mergeCell ref="K18:M18"/>
    <mergeCell ref="K20:M20"/>
    <mergeCell ref="K22:M22"/>
    <mergeCell ref="K24:M24"/>
    <mergeCell ref="K26:M26"/>
    <mergeCell ref="K28:L28"/>
    <mergeCell ref="K34:M34"/>
  </mergeCells>
  <printOptions/>
  <pageMargins bottom="0.787401575" footer="0.0" header="0.0" left="0.511811024" right="0.511811024" top="0.787401575"/>
  <pageSetup paperSize="9" orientation="portrait"/>
  <drawing r:id="rId1"/>
</worksheet>
</file>