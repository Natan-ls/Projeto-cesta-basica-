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4"/>
    <sheet state="visible" name="CESTÃO DA ECONOMIA " sheetId="2" r:id="rId5"/>
    <sheet state="visible" name="CARIBÉ " sheetId="3" r:id="rId6"/>
    <sheet state="visible" name="TERRA NORTE" sheetId="4" r:id="rId7"/>
    <sheet state="visible" name="PAG POUCO" sheetId="5" r:id="rId8"/>
    <sheet state="visible" name="ROCHA" sheetId="6" r:id="rId9"/>
    <sheet state="visible" name="UNIÃO MEGA FEIRA" sheetId="7" r:id="rId10"/>
    <sheet state="visible" name="CESTÃO BAIRRO" sheetId="8" r:id="rId11"/>
    <sheet state="visible" name="BH VAREJO " sheetId="9" r:id="rId12"/>
    <sheet state="visible" name="MART MINAS" sheetId="10" r:id="rId13"/>
    <sheet state="visible" name="BOM PREÇO " sheetId="11" r:id="rId14"/>
    <sheet state="visible" name="SUPER MAAR" sheetId="12" r:id="rId15"/>
    <sheet state="visible" name="PREÇO BAIXO" sheetId="13" r:id="rId16"/>
    <sheet state="visible" name="NACIONAL " sheetId="14" r:id="rId17"/>
    <sheet state="visible" name="COMBUSTÍVEL" sheetId="15" r:id="rId18"/>
  </sheets>
  <definedNames/>
  <calcPr/>
</workbook>
</file>

<file path=xl/sharedStrings.xml><?xml version="1.0" encoding="utf-8"?>
<sst xmlns="http://schemas.openxmlformats.org/spreadsheetml/2006/main" count="2267" uniqueCount="280">
  <si>
    <t xml:space="preserve">Supermercado: BH atacado </t>
  </si>
  <si>
    <t>Mês/ano: 17/03/2025</t>
  </si>
  <si>
    <t>ARROZ (5kg)</t>
  </si>
  <si>
    <t>Codil</t>
  </si>
  <si>
    <t>Codisul</t>
  </si>
  <si>
    <t xml:space="preserve">Vasconcelos </t>
  </si>
  <si>
    <t>Total</t>
  </si>
  <si>
    <t>Média</t>
  </si>
  <si>
    <t>Quantidade</t>
  </si>
  <si>
    <t>Unidade</t>
  </si>
  <si>
    <t>TOTAL</t>
  </si>
  <si>
    <t>Kg</t>
  </si>
  <si>
    <t>FEIJÃO (1kg)</t>
  </si>
  <si>
    <t>Agrominas</t>
  </si>
  <si>
    <t>Vasconcelos</t>
  </si>
  <si>
    <t>AÇÚCAR (5kg)</t>
  </si>
  <si>
    <t>Delta</t>
  </si>
  <si>
    <t xml:space="preserve">Cristal de minas </t>
  </si>
  <si>
    <t>Gran Petit</t>
  </si>
  <si>
    <t>CAFÉ / em pó (500g)</t>
  </si>
  <si>
    <t>3 Corações</t>
  </si>
  <si>
    <t>Letícia</t>
  </si>
  <si>
    <t>Dona Íri</t>
  </si>
  <si>
    <t>FARINHA DE TRIGO (1kg)</t>
  </si>
  <si>
    <t>Globo</t>
  </si>
  <si>
    <t>Dona Benta</t>
  </si>
  <si>
    <t>Vilma</t>
  </si>
  <si>
    <t>FARINHA DE MAND. (1kg)</t>
  </si>
  <si>
    <t>Pachá</t>
  </si>
  <si>
    <t>Xap</t>
  </si>
  <si>
    <t>Agric./famíliar</t>
  </si>
  <si>
    <t>BATATA (1kg)</t>
  </si>
  <si>
    <t>Batata Inglesa</t>
  </si>
  <si>
    <t>xxxxxxx</t>
  </si>
  <si>
    <t>CEBOLA (1kg)</t>
  </si>
  <si>
    <t>Cebola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</si>
  <si>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</si>
  <si>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</si>
  <si>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</si>
  <si>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</si>
  <si>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</si>
  <si>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</si>
  <si>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</si>
  <si>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</si>
  <si>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</si>
  <si>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</si>
  <si>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</si>
  <si>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</si>
  <si>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</si>
  <si>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 xml:space="preserve">Elefante 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</si>
  <si>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</si>
  <si>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</si>
  <si>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</si>
  <si>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</si>
  <si>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</si>
  <si>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</si>
  <si>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</si>
  <si>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ABC</t>
  </si>
  <si>
    <t>Liza</t>
  </si>
  <si>
    <t>Corcovado</t>
  </si>
  <si>
    <t>LEITE (1L)</t>
  </si>
  <si>
    <t>Itambé</t>
  </si>
  <si>
    <t>Cemil</t>
  </si>
  <si>
    <t>Camponesa</t>
  </si>
  <si>
    <t>LEITE EM PÓ (450g)</t>
  </si>
  <si>
    <t xml:space="preserve">Piracanjuba </t>
  </si>
  <si>
    <t>MACARRÃO (pac. 500g)</t>
  </si>
  <si>
    <t>Galo</t>
  </si>
  <si>
    <t>BISCOITO MAISENA (pac. 200g)</t>
  </si>
  <si>
    <t xml:space="preserve">Bauducco </t>
  </si>
  <si>
    <t>Marilan</t>
  </si>
  <si>
    <t>Aymoré</t>
  </si>
  <si>
    <t>CARNE DE PRIMEIRA (1kg)</t>
  </si>
  <si>
    <t>Contra-filé</t>
  </si>
  <si>
    <t>Alcatra</t>
  </si>
  <si>
    <t>Chá de fora</t>
  </si>
  <si>
    <t>CARNE DE SEGUNDA (1kg)</t>
  </si>
  <si>
    <t>Acém</t>
  </si>
  <si>
    <t>Costela</t>
  </si>
  <si>
    <t>Músculo</t>
  </si>
  <si>
    <t>FRANGO RESFRIADO INT. (1kg)</t>
  </si>
  <si>
    <t xml:space="preserve">Ferreira </t>
  </si>
  <si>
    <t>Sadia</t>
  </si>
  <si>
    <t>SALSICHA AVULSA (1kg)</t>
  </si>
  <si>
    <t>Frial</t>
  </si>
  <si>
    <t>Pif-paf</t>
  </si>
  <si>
    <t>LINGUIÇA TOSCANA FRESCA (1kg)</t>
  </si>
  <si>
    <t xml:space="preserve">Saudalli </t>
  </si>
  <si>
    <t>QUEIJO MUSSARELA FAT. (1kg)</t>
  </si>
  <si>
    <t>Copatos</t>
  </si>
  <si>
    <t>Quero</t>
  </si>
  <si>
    <t>Porto Alegre</t>
  </si>
  <si>
    <t>Sub-Tota</t>
  </si>
  <si>
    <t>SABÃO EM PÓ (800g)</t>
  </si>
  <si>
    <t>Tixan Ypê</t>
  </si>
  <si>
    <t>Brilhante</t>
  </si>
  <si>
    <t>OMO</t>
  </si>
  <si>
    <t>SABÃO EM BARRA (unid.)</t>
  </si>
  <si>
    <t>Razzo</t>
  </si>
  <si>
    <t>Ypê</t>
  </si>
  <si>
    <t>ÁGUA SANITÁRIA (1L)</t>
  </si>
  <si>
    <t>Santa Clara</t>
  </si>
  <si>
    <t>Mais</t>
  </si>
  <si>
    <t>DETERGENTE (500 ml)</t>
  </si>
  <si>
    <t>Minuano</t>
  </si>
  <si>
    <t>Limpol</t>
  </si>
  <si>
    <t>Sub-Total</t>
  </si>
  <si>
    <t>PRODUTOS DE HIGIENE PESSOAL</t>
  </si>
  <si>
    <t>PAPEL HIGIÊNICO (pac. 4 unid.)</t>
  </si>
  <si>
    <t>Paradiso</t>
  </si>
  <si>
    <t>Zapel plus</t>
  </si>
  <si>
    <t>Bob</t>
  </si>
  <si>
    <t>CREME DENTAL (tubo 90g)</t>
  </si>
  <si>
    <t>Colgate</t>
  </si>
  <si>
    <t>Sorriso</t>
  </si>
  <si>
    <t>SABONETE (90g)</t>
  </si>
  <si>
    <t>Lux</t>
  </si>
  <si>
    <t>Palmolive</t>
  </si>
  <si>
    <t xml:space="preserve">Albany </t>
  </si>
  <si>
    <t>DESODORANTE SPRAY (100ml)</t>
  </si>
  <si>
    <t xml:space="preserve">Rexona </t>
  </si>
  <si>
    <t>Nivea</t>
  </si>
  <si>
    <t>ABSORVENTE (pac. 8 unid.)</t>
  </si>
  <si>
    <t>Sym</t>
  </si>
  <si>
    <t>Intimus</t>
  </si>
  <si>
    <t>Supermercado: CESTÃO DA ECONOMIA</t>
  </si>
  <si>
    <t>Sepé</t>
  </si>
  <si>
    <t>Eldorado</t>
  </si>
  <si>
    <t>Cristal</t>
  </si>
  <si>
    <t>Bruçúcar</t>
  </si>
  <si>
    <t>Fino Grão</t>
  </si>
  <si>
    <t xml:space="preserve">Globo </t>
  </si>
  <si>
    <t>Gostosao</t>
  </si>
  <si>
    <t>Ama Fil</t>
  </si>
  <si>
    <t>Soya</t>
  </si>
  <si>
    <t>Nutril</t>
  </si>
  <si>
    <t>Yara</t>
  </si>
  <si>
    <t>Mabel</t>
  </si>
  <si>
    <t>Coxão Mole</t>
  </si>
  <si>
    <t>Coxão Duro</t>
  </si>
  <si>
    <t xml:space="preserve">Perdigão </t>
  </si>
  <si>
    <t>Saudali</t>
  </si>
  <si>
    <t>Saboroso</t>
  </si>
  <si>
    <t>Vista Alegre</t>
  </si>
  <si>
    <t>LIMPEZA DOMÉSTICA</t>
  </si>
  <si>
    <t>SABÃO EM PÓ (500g)</t>
  </si>
  <si>
    <t>Super globo</t>
  </si>
  <si>
    <t>Tuff</t>
  </si>
  <si>
    <t>Qboa</t>
  </si>
  <si>
    <t>Valor</t>
  </si>
  <si>
    <t>Personal</t>
  </si>
  <si>
    <t>Rexona</t>
  </si>
  <si>
    <t xml:space="preserve">Monange </t>
  </si>
  <si>
    <t>Supermercado: CARIBÉ</t>
  </si>
  <si>
    <t>Milu</t>
  </si>
  <si>
    <t>Vale</t>
  </si>
  <si>
    <t xml:space="preserve">Supermercado: TERRA NORTE </t>
  </si>
  <si>
    <t>Pif paf</t>
  </si>
  <si>
    <t>Supermercado: PAG POUCO</t>
  </si>
  <si>
    <t>xxxxxx</t>
  </si>
  <si>
    <t>Suacui</t>
  </si>
  <si>
    <t>Santa clara</t>
  </si>
  <si>
    <t>Polylar</t>
  </si>
  <si>
    <t>Luxux</t>
  </si>
  <si>
    <t>Supermercado: ROCHA</t>
  </si>
  <si>
    <t>Martins</t>
  </si>
  <si>
    <t>Fino Grã</t>
  </si>
  <si>
    <t xml:space="preserve">Flamboyant </t>
  </si>
  <si>
    <t>Avivar</t>
  </si>
  <si>
    <t>Vida</t>
  </si>
  <si>
    <t>Supermercado: UNIÃO</t>
  </si>
  <si>
    <t xml:space="preserve">Saboroso </t>
  </si>
  <si>
    <t>Supler globo</t>
  </si>
  <si>
    <t xml:space="preserve">Supermercado: CESTÃO BAIRRO </t>
  </si>
  <si>
    <t>Dia Dinha</t>
  </si>
  <si>
    <t xml:space="preserve">Pachá </t>
  </si>
  <si>
    <t>EXTRATO DE TOMATE (300g)</t>
  </si>
  <si>
    <t>Fugini</t>
  </si>
  <si>
    <t xml:space="preserve">Colonial </t>
  </si>
  <si>
    <t>LEITE EM PÓ (400g)</t>
  </si>
  <si>
    <t>Piracanjuba</t>
  </si>
  <si>
    <t>ferreira</t>
  </si>
  <si>
    <t>Friall</t>
  </si>
  <si>
    <t>Pifpaf</t>
  </si>
  <si>
    <t xml:space="preserve">Premiada </t>
  </si>
  <si>
    <t>Coopatos</t>
  </si>
  <si>
    <t>SABÃO EM PÓ (400g)</t>
  </si>
  <si>
    <t xml:space="preserve">Minuano </t>
  </si>
  <si>
    <t xml:space="preserve">Ypê </t>
  </si>
  <si>
    <t>Azulim</t>
  </si>
  <si>
    <t>Mili</t>
  </si>
  <si>
    <t xml:space="preserve">Closeup </t>
  </si>
  <si>
    <t>Albany</t>
  </si>
  <si>
    <t xml:space="preserve">Nívea </t>
  </si>
  <si>
    <t>Sempre livre</t>
  </si>
  <si>
    <t>Supermercado: BH atacado varejo</t>
  </si>
  <si>
    <t xml:space="preserve">Dona Íris </t>
  </si>
  <si>
    <t>músculo</t>
  </si>
  <si>
    <t xml:space="preserve">Santa Clara </t>
  </si>
  <si>
    <t>Supermercado: MART MINAS</t>
  </si>
  <si>
    <t>Da Dinha</t>
  </si>
  <si>
    <t xml:space="preserve">Letícia </t>
  </si>
  <si>
    <t>EXTRATO DE TOMATE (350g)</t>
  </si>
  <si>
    <t xml:space="preserve">Fugini </t>
  </si>
  <si>
    <t xml:space="preserve">Concórdia </t>
  </si>
  <si>
    <t>Quatá</t>
  </si>
  <si>
    <t>Patinho</t>
  </si>
  <si>
    <t>Ferreira</t>
  </si>
  <si>
    <t>Perdigão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</si>
  <si>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</si>
  <si>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</si>
  <si>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</si>
  <si>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</si>
  <si>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</si>
  <si>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</si>
  <si>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</si>
  <si>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</si>
  <si>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</si>
  <si>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</si>
  <si>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</si>
  <si>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</si>
  <si>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</si>
  <si>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</si>
  <si>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</si>
  <si>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</si>
  <si>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</si>
  <si>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>Becel</t>
  </si>
  <si>
    <t>Nutri</t>
  </si>
  <si>
    <t>Cotochés</t>
  </si>
  <si>
    <t>Yar</t>
  </si>
  <si>
    <t>Aymore</t>
  </si>
  <si>
    <t>Lagarto</t>
  </si>
  <si>
    <t xml:space="preserve">Acém </t>
  </si>
  <si>
    <t>cogran</t>
  </si>
  <si>
    <t xml:space="preserve">Mili Bianco </t>
  </si>
  <si>
    <t>Palmolivw</t>
  </si>
  <si>
    <t>Cores ( bax flower)</t>
  </si>
  <si>
    <t>Always</t>
  </si>
  <si>
    <t>Supermercado: PREÇO BAIXO</t>
  </si>
  <si>
    <t>Cristal de minas</t>
  </si>
  <si>
    <t>Claybom</t>
  </si>
  <si>
    <t>PÃO FRANCÊS (1kg) preço da unidade</t>
  </si>
  <si>
    <t xml:space="preserve">Chá de fora </t>
  </si>
  <si>
    <t>FRANGO RESFRIADO INT. (1kg) congelado</t>
  </si>
  <si>
    <t>Fredini</t>
  </si>
  <si>
    <t>Confran</t>
  </si>
  <si>
    <t xml:space="preserve">Suíço </t>
  </si>
  <si>
    <t>CREME DENTAL (tubo 70g)</t>
  </si>
  <si>
    <t xml:space="preserve">Supermercado: NACIONAL </t>
  </si>
  <si>
    <t>Laçúcar</t>
  </si>
  <si>
    <t>Ribeirão</t>
  </si>
  <si>
    <t xml:space="preserve">Codil </t>
  </si>
  <si>
    <t>Batata Ingles</t>
  </si>
  <si>
    <t>Minas</t>
  </si>
  <si>
    <t xml:space="preserve">Veleiro </t>
  </si>
  <si>
    <t>Italac</t>
  </si>
  <si>
    <t>Mara</t>
  </si>
  <si>
    <t xml:space="preserve">Paleta </t>
  </si>
  <si>
    <t>Cogran</t>
  </si>
  <si>
    <t xml:space="preserve">Suíno </t>
  </si>
  <si>
    <t>Saborosa</t>
  </si>
  <si>
    <t>Plus</t>
  </si>
  <si>
    <t>COMBUSTÍVEL                                                           Mês/Ano: 17/03/2025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</si>
  <si>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</si>
  <si>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</si>
  <si>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</si>
  <si>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</si>
  <si>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</si>
  <si>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</si>
  <si>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</si>
  <si>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</si>
  <si>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>POSTO ALVORADA (1L)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</si>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</sst>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6">
    <font>
      <sz val="11.0"/>
      <color theme="1"/>
      <name val="Calibri"/>
      <scheme val="minor"/>
    </font>
    <font>
      <sz val="12.0"/>
      <color theme="1"/>
      <name val="Times New Roman"/>
    </font>
    <font>
      <sz val="12.0"/>
      <color theme="1"/>
      <name val="Calibri"/>
    </font>
    <font>
      <b/>
      <sz val="12.0"/>
      <color theme="1"/>
      <name val="Times New Roman"/>
    </font>
    <font/>
    <font>
      <b/>
      <sz val="12.0"/>
      <color rgb="FFFF0000"/>
      <name val="Times New Roman"/>
    </font>
    <font>
      <sz val="11.0"/>
      <color theme="1"/>
      <name val="Arial"/>
    </font>
    <font>
      <b/>
      <sz val="12.0"/>
      <color theme="1"/>
      <name val="&quot;Times New Roman&quot;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1" numFmtId="0" xfId="0" applyFont="1"/>
    <xf borderId="0" fillId="0" fontId="2" numFmtId="0" xfId="0" applyFont="1"/>
    <xf borderId="4" fillId="0" fontId="3" numFmtId="0" xfId="0" applyAlignment="1" applyBorder="1" applyFont="1">
      <alignment horizontal="left" readingOrder="0"/>
    </xf>
    <xf borderId="5" fillId="0" fontId="4" numFmtId="0" xfId="0" applyBorder="1" applyFont="1"/>
    <xf borderId="6" fillId="0" fontId="4" numFmtId="0" xfId="0" applyBorder="1" applyFont="1"/>
    <xf borderId="4" fillId="0" fontId="3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vertical="center"/>
    </xf>
    <xf borderId="9" fillId="0" fontId="4" numFmtId="0" xfId="0" applyBorder="1" applyFont="1"/>
    <xf borderId="10" fillId="2" fontId="1" numFmtId="0" xfId="0" applyAlignment="1" applyBorder="1" applyFill="1" applyFont="1">
      <alignment readingOrder="0"/>
    </xf>
    <xf borderId="10" fillId="2" fontId="1" numFmtId="0" xfId="0" applyBorder="1" applyFont="1"/>
    <xf borderId="10" fillId="2" fontId="3" numFmtId="0" xfId="0" applyBorder="1" applyFont="1"/>
    <xf borderId="11" fillId="3" fontId="1" numFmtId="0" xfId="0" applyBorder="1" applyFill="1" applyFont="1"/>
    <xf borderId="12" fillId="2" fontId="1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5" numFmtId="164" xfId="0" applyAlignment="1" applyBorder="1" applyFont="1" applyNumberFormat="1">
      <alignment readingOrder="0" vertical="center"/>
    </xf>
    <xf borderId="16" fillId="0" fontId="1" numFmtId="165" xfId="0" applyAlignment="1" applyBorder="1" applyFont="1" applyNumberFormat="1">
      <alignment horizontal="left"/>
    </xf>
    <xf borderId="16" fillId="0" fontId="3" numFmtId="165" xfId="0" applyAlignment="1" applyBorder="1" applyFont="1" applyNumberFormat="1">
      <alignment horizontal="left"/>
    </xf>
    <xf borderId="16" fillId="0" fontId="1" numFmtId="0" xfId="0" applyAlignment="1" applyBorder="1" applyFont="1">
      <alignment horizontal="right"/>
    </xf>
    <xf borderId="16" fillId="0" fontId="1" numFmtId="0" xfId="0" applyAlignment="1" applyBorder="1" applyFont="1">
      <alignment horizontal="center"/>
    </xf>
    <xf borderId="17" fillId="0" fontId="1" numFmtId="165" xfId="0" applyAlignment="1" applyBorder="1" applyFont="1" applyNumberFormat="1">
      <alignment horizont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left" vertical="center"/>
    </xf>
    <xf borderId="20" fillId="0" fontId="4" numFmtId="0" xfId="0" applyBorder="1" applyFont="1"/>
    <xf borderId="16" fillId="2" fontId="1" numFmtId="0" xfId="0" applyBorder="1" applyFont="1"/>
    <xf borderId="21" fillId="2" fontId="1" numFmtId="0" xfId="0" applyAlignment="1" applyBorder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16" fillId="2" fontId="1" numFmtId="0" xfId="0" applyAlignment="1" applyBorder="1" applyFont="1">
      <alignment readingOrder="0"/>
    </xf>
    <xf borderId="16" fillId="0" fontId="5" numFmtId="164" xfId="0" applyAlignment="1" applyBorder="1" applyFont="1" applyNumberFormat="1">
      <alignment vertical="center"/>
    </xf>
    <xf borderId="0" fillId="0" fontId="1" numFmtId="0" xfId="0" applyAlignment="1" applyFont="1">
      <alignment horizontal="left"/>
    </xf>
    <xf borderId="24" fillId="0" fontId="1" numFmtId="0" xfId="0" applyAlignment="1" applyBorder="1" applyFont="1">
      <alignment horizontal="right"/>
    </xf>
    <xf borderId="24" fillId="0" fontId="1" numFmtId="0" xfId="0" applyAlignment="1" applyBorder="1" applyFont="1">
      <alignment horizontal="center"/>
    </xf>
    <xf borderId="25" fillId="0" fontId="5" numFmtId="0" xfId="0" applyAlignment="1" applyBorder="1" applyFont="1">
      <alignment horizontal="center" readingOrder="0"/>
    </xf>
    <xf borderId="26" fillId="0" fontId="4" numFmtId="0" xfId="0" applyBorder="1" applyFont="1"/>
    <xf borderId="21" fillId="0" fontId="5" numFmtId="165" xfId="0" applyBorder="1" applyFont="1" applyNumberFormat="1"/>
    <xf borderId="16" fillId="0" fontId="1" numFmtId="0" xfId="0" applyBorder="1" applyFont="1"/>
    <xf borderId="21" fillId="0" fontId="5" numFmtId="0" xfId="0" applyAlignment="1" applyBorder="1" applyFont="1">
      <alignment horizontal="center"/>
    </xf>
    <xf borderId="23" fillId="0" fontId="5" numFmtId="165" xfId="0" applyBorder="1" applyFont="1" applyNumberFormat="1"/>
    <xf borderId="25" fillId="0" fontId="3" numFmtId="0" xfId="0" applyAlignment="1" applyBorder="1" applyFont="1">
      <alignment horizontal="center"/>
    </xf>
    <xf borderId="19" fillId="0" fontId="1" numFmtId="0" xfId="0" applyAlignment="1" applyBorder="1" applyFont="1">
      <alignment horizontal="left" readingOrder="0" vertical="center"/>
    </xf>
    <xf borderId="25" fillId="0" fontId="5" numFmtId="0" xfId="0" applyAlignment="1" applyBorder="1" applyFont="1">
      <alignment horizontal="center"/>
    </xf>
    <xf borderId="16" fillId="0" fontId="5" numFmtId="165" xfId="0" applyBorder="1" applyFont="1" applyNumberFormat="1"/>
    <xf borderId="17" fillId="0" fontId="5" numFmtId="165" xfId="0" applyBorder="1" applyFont="1" applyNumberFormat="1"/>
    <xf borderId="27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165" xfId="0" applyFont="1" applyNumberFormat="1"/>
    <xf borderId="28" fillId="0" fontId="5" numFmtId="165" xfId="0" applyBorder="1" applyFont="1" applyNumberFormat="1"/>
    <xf borderId="16" fillId="0" fontId="5" numFmtId="0" xfId="0" applyBorder="1" applyFont="1"/>
    <xf borderId="29" fillId="0" fontId="5" numFmtId="0" xfId="0" applyAlignment="1" applyBorder="1" applyFont="1">
      <alignment horizontal="center"/>
    </xf>
    <xf borderId="30" fillId="0" fontId="5" numFmtId="0" xfId="0" applyAlignment="1" applyBorder="1" applyFont="1">
      <alignment horizontal="center"/>
    </xf>
    <xf borderId="30" fillId="0" fontId="5" numFmtId="165" xfId="0" applyBorder="1" applyFont="1" applyNumberFormat="1"/>
    <xf borderId="30" fillId="0" fontId="1" numFmtId="0" xfId="0" applyBorder="1" applyFont="1"/>
    <xf borderId="31" fillId="0" fontId="5" numFmtId="165" xfId="0" applyBorder="1" applyFont="1" applyNumberFormat="1"/>
    <xf borderId="4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29" fillId="0" fontId="7" numFmtId="0" xfId="0" applyAlignment="1" applyBorder="1" applyFont="1">
      <alignment readingOrder="0" vertical="bottom"/>
    </xf>
    <xf borderId="30" fillId="0" fontId="4" numFmtId="0" xfId="0" applyBorder="1" applyFont="1"/>
    <xf borderId="31" fillId="0" fontId="4" numFmtId="0" xfId="0" applyBorder="1" applyFont="1"/>
    <xf borderId="30" fillId="0" fontId="7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/>
    </xf>
    <xf borderId="0" fillId="0" fontId="8" numFmtId="0" xfId="0" applyFont="1"/>
    <xf borderId="15" fillId="2" fontId="8" numFmtId="0" xfId="0" applyAlignment="1" applyBorder="1" applyFont="1">
      <alignment vertical="bottom"/>
    </xf>
    <xf borderId="15" fillId="2" fontId="7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32" fillId="2" fontId="8" numFmtId="0" xfId="0" applyAlignment="1" applyBorder="1" applyFont="1">
      <alignment vertical="bottom"/>
    </xf>
    <xf borderId="33" fillId="0" fontId="4" numFmtId="0" xfId="0" applyBorder="1" applyFont="1"/>
    <xf borderId="15" fillId="0" fontId="9" numFmtId="164" xfId="0" applyAlignment="1" applyBorder="1" applyFont="1" applyNumberFormat="1">
      <alignment horizontal="right" readingOrder="0"/>
    </xf>
    <xf borderId="15" fillId="0" fontId="8" numFmtId="165" xfId="0" applyAlignment="1" applyBorder="1" applyFont="1" applyNumberFormat="1">
      <alignment vertical="bottom"/>
    </xf>
    <xf borderId="15" fillId="0" fontId="7" numFmtId="165" xfId="0" applyAlignment="1" applyBorder="1" applyFont="1" applyNumberFormat="1">
      <alignment vertical="bottom"/>
    </xf>
    <xf borderId="15" fillId="0" fontId="8" numFmtId="0" xfId="0" applyAlignment="1" applyBorder="1" applyFont="1">
      <alignment horizontal="right" vertical="bottom"/>
    </xf>
    <xf borderId="15" fillId="0" fontId="8" numFmtId="0" xfId="0" applyAlignment="1" applyBorder="1" applyFont="1">
      <alignment horizontal="center" vertical="bottom"/>
    </xf>
    <xf borderId="32" fillId="0" fontId="8" numFmtId="165" xfId="0" applyAlignment="1" applyBorder="1" applyFont="1" applyNumberFormat="1">
      <alignment horizontal="center" vertical="bottom"/>
    </xf>
    <xf borderId="33" fillId="0" fontId="10" numFmtId="0" xfId="0" applyBorder="1" applyFont="1"/>
    <xf borderId="32" fillId="0" fontId="4" numFmtId="0" xfId="0" applyBorder="1" applyFont="1"/>
    <xf borderId="15" fillId="2" fontId="8" numFmtId="0" xfId="0" applyAlignment="1" applyBorder="1" applyFont="1">
      <alignment readingOrder="0" vertical="bottom"/>
    </xf>
    <xf borderId="15" fillId="0" fontId="6" numFmtId="164" xfId="0" applyBorder="1" applyFont="1" applyNumberFormat="1"/>
    <xf borderId="15" fillId="0" fontId="6" numFmtId="0" xfId="0" applyAlignment="1" applyBorder="1" applyFont="1">
      <alignment vertical="bottom"/>
    </xf>
    <xf borderId="34" fillId="0" fontId="9" numFmtId="0" xfId="0" applyAlignment="1" applyBorder="1" applyFont="1">
      <alignment horizontal="center" vertical="bottom"/>
    </xf>
    <xf borderId="15" fillId="0" fontId="9" numFmtId="165" xfId="0" applyAlignment="1" applyBorder="1" applyFont="1" applyNumberFormat="1">
      <alignment horizontal="right" vertical="bottom"/>
    </xf>
    <xf borderId="33" fillId="0" fontId="9" numFmtId="0" xfId="0" applyAlignment="1" applyBorder="1" applyFont="1">
      <alignment horizontal="center" vertical="bottom"/>
    </xf>
    <xf borderId="32" fillId="0" fontId="9" numFmtId="165" xfId="0" applyAlignment="1" applyBorder="1" applyFont="1" applyNumberFormat="1">
      <alignment horizontal="right" vertical="bottom"/>
    </xf>
    <xf borderId="34" fillId="0" fontId="7" numFmtId="0" xfId="0" applyAlignment="1" applyBorder="1" applyFont="1">
      <alignment horizontal="center" vertical="bottom"/>
    </xf>
    <xf borderId="27" fillId="0" fontId="6" numFmtId="0" xfId="0" applyAlignment="1" applyBorder="1" applyFont="1">
      <alignment vertical="bottom"/>
    </xf>
    <xf borderId="0" fillId="0" fontId="6" numFmtId="165" xfId="0" applyAlignment="1" applyFont="1" applyNumberFormat="1">
      <alignment vertical="bottom"/>
    </xf>
    <xf borderId="28" fillId="0" fontId="6" numFmtId="165" xfId="0" applyAlignment="1" applyBorder="1" applyFont="1" applyNumberFormat="1">
      <alignment vertical="bottom"/>
    </xf>
    <xf borderId="33" fillId="0" fontId="6" numFmtId="0" xfId="0" applyAlignment="1" applyBorder="1" applyFont="1">
      <alignment vertical="bottom"/>
    </xf>
    <xf borderId="33" fillId="0" fontId="6" numFmtId="165" xfId="0" applyAlignment="1" applyBorder="1" applyFont="1" applyNumberFormat="1">
      <alignment vertical="bottom"/>
    </xf>
    <xf borderId="32" fillId="0" fontId="6" numFmtId="165" xfId="0" applyAlignment="1" applyBorder="1" applyFont="1" applyNumberFormat="1">
      <alignment vertical="bottom"/>
    </xf>
    <xf borderId="15" fillId="0" fontId="9" numFmtId="0" xfId="0" applyAlignment="1" applyBorder="1" applyFont="1">
      <alignment vertical="bottom"/>
    </xf>
    <xf borderId="29" fillId="0" fontId="6" numFmtId="0" xfId="0" applyAlignment="1" applyBorder="1" applyFont="1">
      <alignment vertical="bottom"/>
    </xf>
    <xf borderId="30" fillId="0" fontId="6" numFmtId="0" xfId="0" applyAlignment="1" applyBorder="1" applyFont="1">
      <alignment vertical="bottom"/>
    </xf>
    <xf borderId="30" fillId="0" fontId="6" numFmtId="165" xfId="0" applyAlignment="1" applyBorder="1" applyFont="1" applyNumberFormat="1">
      <alignment vertical="bottom"/>
    </xf>
    <xf borderId="31" fillId="0" fontId="6" numFmtId="165" xfId="0" applyAlignment="1" applyBorder="1" applyFont="1" applyNumberFormat="1">
      <alignment vertical="bottom"/>
    </xf>
    <xf borderId="29" fillId="0" fontId="7" numFmtId="0" xfId="0" applyAlignment="1" applyBorder="1" applyFont="1">
      <alignment vertical="bottom"/>
    </xf>
    <xf borderId="15" fillId="0" fontId="9" numFmtId="164" xfId="0" applyAlignment="1" applyBorder="1" applyFont="1" applyNumberFormat="1">
      <alignment horizontal="right"/>
    </xf>
    <xf borderId="15" fillId="0" fontId="11" numFmtId="164" xfId="0" applyAlignment="1" applyBorder="1" applyFont="1" applyNumberFormat="1">
      <alignment readingOrder="0"/>
    </xf>
    <xf borderId="34" fillId="0" fontId="9" numFmtId="0" xfId="0" applyAlignment="1" applyBorder="1" applyFont="1">
      <alignment horizontal="center" readingOrder="0" vertical="bottom"/>
    </xf>
    <xf borderId="1" fillId="0" fontId="1" numFmtId="166" xfId="0" applyAlignment="1" applyBorder="1" applyFont="1" applyNumberFormat="1">
      <alignment readingOrder="0"/>
    </xf>
    <xf borderId="4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21" fillId="0" fontId="3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0" fontId="1" numFmtId="0" xfId="0" applyAlignment="1" applyBorder="1" applyFont="1">
      <alignment horizontal="center" readingOrder="0" vertical="center"/>
    </xf>
    <xf borderId="24" fillId="0" fontId="5" numFmtId="164" xfId="0" applyAlignment="1" applyBorder="1" applyFont="1" applyNumberFormat="1">
      <alignment readingOrder="0" vertical="center"/>
    </xf>
    <xf borderId="35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left" readingOrder="0" vertical="center"/>
    </xf>
    <xf borderId="20" fillId="0" fontId="4" numFmtId="0" xfId="0" applyBorder="1" applyFont="1"/>
    <xf borderId="2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24" fillId="0" fontId="1" numFmtId="0" xfId="0" applyAlignment="1" applyBorder="1" applyFont="1">
      <alignment horizontal="right" readingOrder="0"/>
    </xf>
    <xf borderId="36" fillId="0" fontId="1" numFmtId="165" xfId="0" applyAlignment="1" applyBorder="1" applyFont="1" applyNumberFormat="1">
      <alignment horizontal="center"/>
    </xf>
    <xf borderId="19" fillId="0" fontId="1" numFmtId="0" xfId="0" applyAlignment="1" applyBorder="1" applyFont="1">
      <alignment horizontal="left" readingOrder="0" vertical="center"/>
    </xf>
    <xf borderId="20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24" fillId="0" fontId="1" numFmtId="0" xfId="0" applyAlignment="1" applyBorder="1" applyFont="1">
      <alignment horizontal="center" readingOrder="0" vertical="center"/>
    </xf>
    <xf borderId="37" fillId="0" fontId="4" numFmtId="0" xfId="0" applyBorder="1" applyFont="1"/>
    <xf borderId="38" fillId="0" fontId="4" numFmtId="0" xfId="0" applyBorder="1" applyFont="1"/>
    <xf borderId="39" fillId="0" fontId="5" numFmtId="165" xfId="0" applyBorder="1" applyFont="1" applyNumberFormat="1"/>
    <xf borderId="40" fillId="0" fontId="1" numFmtId="0" xfId="0" applyBorder="1" applyFont="1"/>
    <xf borderId="39" fillId="0" fontId="5" numFmtId="0" xfId="0" applyAlignment="1" applyBorder="1" applyFont="1">
      <alignment horizontal="center"/>
    </xf>
    <xf borderId="41" fillId="0" fontId="4" numFmtId="0" xfId="0" applyBorder="1" applyFont="1"/>
    <xf borderId="42" fillId="0" fontId="5" numFmtId="165" xfId="0" applyBorder="1" applyFont="1" applyNumberFormat="1"/>
    <xf borderId="0" fillId="0" fontId="6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Font="1"/>
    <xf borderId="0" fillId="0" fontId="12" numFmtId="164" xfId="0" applyAlignment="1" applyFont="1" applyNumberFormat="1">
      <alignment horizontal="right" readingOrder="0"/>
    </xf>
    <xf borderId="0" fillId="0" fontId="14" numFmtId="164" xfId="0" applyFont="1" applyNumberFormat="1"/>
    <xf borderId="0" fillId="0" fontId="13" numFmtId="165" xfId="0" applyAlignment="1" applyFont="1" applyNumberFormat="1">
      <alignment vertical="bottom"/>
    </xf>
    <xf borderId="0" fillId="0" fontId="12" numFmtId="165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165" xfId="0" applyAlignment="1" applyFont="1" applyNumberFormat="1">
      <alignment horizontal="center" vertical="bottom"/>
    </xf>
    <xf borderId="0" fillId="0" fontId="13" numFmtId="164" xfId="0" applyAlignment="1" applyFont="1" applyNumberFormat="1">
      <alignment horizontal="right" readingOrder="0"/>
    </xf>
    <xf borderId="0" fillId="0" fontId="12" numFmtId="0" xfId="0" applyAlignment="1" applyFont="1">
      <alignment horizontal="center" readingOrder="0" vertical="bottom"/>
    </xf>
    <xf borderId="0" fillId="0" fontId="1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0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3" t="s">
        <v>3</v>
      </c>
      <c r="E3" s="14" t="s">
        <v>4</v>
      </c>
      <c r="F3" s="13" t="s">
        <v>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23.0</v>
      </c>
      <c r="E4" s="21">
        <v>23.0</v>
      </c>
      <c r="F4" s="21"/>
      <c r="G4" s="22">
        <f>SUM(D4,E4,F4)</f>
        <v>46</v>
      </c>
      <c r="H4" s="23">
        <f>AVERAGE(D4,E4,F4)</f>
        <v>23</v>
      </c>
      <c r="I4" s="16"/>
      <c r="J4" s="24">
        <v>3.0</v>
      </c>
      <c r="K4" s="25" t="s">
        <v>11</v>
      </c>
      <c r="L4" s="26">
        <f>H4*J4</f>
        <v>69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14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6.3</v>
      </c>
      <c r="E6" s="21">
        <v>6.5</v>
      </c>
      <c r="F6" s="21"/>
      <c r="G6" s="22">
        <f>SUM(D6,E6,F6)</f>
        <v>12.8</v>
      </c>
      <c r="H6" s="23">
        <f>AVERAGE(D6,E6,F6)</f>
        <v>6.4</v>
      </c>
      <c r="I6" s="16"/>
      <c r="J6" s="24">
        <v>4.0</v>
      </c>
      <c r="K6" s="25"/>
      <c r="L6" s="26">
        <f>H6*J6</f>
        <v>25.6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17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16.9</v>
      </c>
      <c r="E8" s="21"/>
      <c r="F8" s="21"/>
      <c r="G8" s="22">
        <f>SUM(D8,E8,F8)</f>
        <v>16.9</v>
      </c>
      <c r="H8" s="23">
        <f>AVERAGE(D8,E8,F8)</f>
        <v>16.9</v>
      </c>
      <c r="I8" s="16"/>
      <c r="J8" s="24">
        <v>2.0</v>
      </c>
      <c r="K8" s="25"/>
      <c r="L8" s="26">
        <f>H8*J8</f>
        <v>33.8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3" t="s">
        <v>22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23.99</v>
      </c>
      <c r="E10" s="21"/>
      <c r="F10" s="21"/>
      <c r="G10" s="22">
        <f>SUM(D10,E10,F10)</f>
        <v>23.99</v>
      </c>
      <c r="H10" s="23">
        <f>AVERAGE(D10,E10,F10)</f>
        <v>23.99</v>
      </c>
      <c r="I10" s="16"/>
      <c r="J10" s="24">
        <v>3.0</v>
      </c>
      <c r="K10" s="25"/>
      <c r="L10" s="26">
        <f>H10*J10</f>
        <v>71.97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4.3</v>
      </c>
      <c r="E12" s="21"/>
      <c r="F12" s="21"/>
      <c r="G12" s="22">
        <f>SUM(D12,E12,F12)</f>
        <v>4.3</v>
      </c>
      <c r="H12" s="23">
        <f>AVERAGE(D12,E12,F12)</f>
        <v>4.3</v>
      </c>
      <c r="I12" s="16"/>
      <c r="J12" s="24">
        <v>3.0</v>
      </c>
      <c r="K12" s="25"/>
      <c r="L12" s="26">
        <f>H12*J12</f>
        <v>12.9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4" t="s">
        <v>29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>
        <v>3.8</v>
      </c>
      <c r="E14" s="21">
        <v>5.1</v>
      </c>
      <c r="F14" s="21"/>
      <c r="G14" s="22">
        <f>SUM(D14,E14,F14)</f>
        <v>8.9</v>
      </c>
      <c r="H14" s="23">
        <f>AVERAGE(D14,E14,F14)</f>
        <v>4.45</v>
      </c>
      <c r="I14" s="16"/>
      <c r="J14" s="24">
        <v>1.0</v>
      </c>
      <c r="K14" s="25"/>
      <c r="L14" s="26">
        <f>H14*J14</f>
        <v>4.45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4.8</v>
      </c>
      <c r="E16" s="35"/>
      <c r="F16" s="35"/>
      <c r="G16" s="22">
        <f>SUM(D16,E16,F16)</f>
        <v>4.8</v>
      </c>
      <c r="H16" s="23">
        <f>AVERAGE(D16,E16,F16)</f>
        <v>4.8</v>
      </c>
      <c r="I16" s="16"/>
      <c r="J16" s="24">
        <v>4.0</v>
      </c>
      <c r="K16" s="25"/>
      <c r="L16" s="26">
        <f>H16*J16</f>
        <v>19.2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2.99</v>
      </c>
      <c r="E18" s="35"/>
      <c r="F18" s="35"/>
      <c r="G18" s="22">
        <f>SUM(D18,E18,F18)</f>
        <v>2.99</v>
      </c>
      <c r="H18" s="23">
        <f>AVERAGE(D18,E18,F18)</f>
        <v>2.99</v>
      </c>
      <c r="I18" s="16"/>
      <c r="J18" s="24">
        <v>1.0</v>
      </c>
      <c r="K18" s="25"/>
      <c r="L18" s="26">
        <f>H18*J18</f>
        <v>2.99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5.99</v>
      </c>
      <c r="E20" s="35"/>
      <c r="F20" s="35"/>
      <c r="G20" s="22">
        <f>SUM(D20,E20,F20)</f>
        <v>5.99</v>
      </c>
      <c r="H20" s="23">
        <f>AVERAGE(D20,E20,F20)</f>
        <v>5.99</v>
      </c>
      <c r="I20" s="16"/>
      <c r="J20" s="24">
        <v>9.0</v>
      </c>
      <c r="K20" s="25"/>
      <c r="L20" s="26">
        <f>H20*J20</f>
        <v>53.91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21.9</v>
      </c>
      <c r="E22" s="35"/>
      <c r="F22" s="35"/>
      <c r="G22" s="22">
        <f>SUM(D22,E22,F22)</f>
        <v>21.9</v>
      </c>
      <c r="H22" s="23">
        <f>AVERAGE(D22,E22,F22)</f>
        <v>21.9</v>
      </c>
      <c r="I22" s="16"/>
      <c r="J22" s="24">
        <v>0.2</v>
      </c>
      <c r="K22" s="25"/>
      <c r="L22" s="26">
        <f>H22*J22</f>
        <v>4.38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10.3</v>
      </c>
      <c r="E24" s="21"/>
      <c r="F24" s="35"/>
      <c r="G24" s="22">
        <f>SUM(D24,E24,F24)</f>
        <v>10.3</v>
      </c>
      <c r="H24" s="23">
        <f>AVERAGE(D24,E24,F24)</f>
        <v>10.3</v>
      </c>
      <c r="I24" s="4"/>
      <c r="J24" s="24">
        <v>3.0</v>
      </c>
      <c r="K24" s="25"/>
      <c r="L24" s="26">
        <f>H24*J24</f>
        <v>30.9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4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5.1</v>
      </c>
      <c r="E26" s="21">
        <v>5.15</v>
      </c>
      <c r="F26" s="21"/>
      <c r="G26" s="22">
        <f>SUM(D26,E26,F26)</f>
        <v>10.25</v>
      </c>
      <c r="H26" s="23">
        <f>AVERAGE(D26,E26,F26)</f>
        <v>5.125</v>
      </c>
      <c r="I26" s="4"/>
      <c r="J26" s="24">
        <v>4.0</v>
      </c>
      <c r="K26" s="25"/>
      <c r="L26" s="26">
        <f>H26*J26</f>
        <v>20.5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1.89</v>
      </c>
      <c r="E28" s="21">
        <v>1.98</v>
      </c>
      <c r="F28" s="21"/>
      <c r="G28" s="22">
        <f>SUM(D28,E28,F28)</f>
        <v>3.87</v>
      </c>
      <c r="H28" s="23">
        <f>AVERAGE(D28,E28,F28)</f>
        <v>1.935</v>
      </c>
      <c r="I28" s="4"/>
      <c r="J28" s="24">
        <v>2.0</v>
      </c>
      <c r="K28" s="25"/>
      <c r="L28" s="26">
        <f>H28*J28</f>
        <v>3.87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12.89</v>
      </c>
      <c r="E30" s="35"/>
      <c r="F30" s="35"/>
      <c r="G30" s="22">
        <f>SUM(D30,E30,F30)</f>
        <v>12.89</v>
      </c>
      <c r="H30" s="23">
        <f>AVERAGE(D30,E30,F30)</f>
        <v>12.89</v>
      </c>
      <c r="I30" s="4"/>
      <c r="J30" s="24">
        <v>6.0</v>
      </c>
      <c r="K30" s="25"/>
      <c r="L30" s="26">
        <f>H30*J30</f>
        <v>77.34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4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3.8</v>
      </c>
      <c r="E32" s="21"/>
      <c r="F32" s="35"/>
      <c r="G32" s="22">
        <f>SUM(D32,E32,F32)</f>
        <v>3.8</v>
      </c>
      <c r="H32" s="23">
        <f>AVERAGE(D32,E32,F32)</f>
        <v>3.8</v>
      </c>
      <c r="I32" s="4"/>
      <c r="J32" s="24">
        <v>7.5</v>
      </c>
      <c r="K32" s="25"/>
      <c r="L32" s="26">
        <f>H32*J32</f>
        <v>28.5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4" t="s">
        <v>57</v>
      </c>
      <c r="E33" s="34" t="s">
        <v>58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6.3</v>
      </c>
      <c r="E34" s="21"/>
      <c r="F34" s="35"/>
      <c r="G34" s="22">
        <f>SUM(D34,E34,F34)</f>
        <v>6.3</v>
      </c>
      <c r="H34" s="23">
        <f>AVERAGE(D34,E34,F34)</f>
        <v>6.3</v>
      </c>
      <c r="I34" s="4"/>
      <c r="J34" s="24">
        <v>5.0</v>
      </c>
      <c r="K34" s="25"/>
      <c r="L34" s="26">
        <f>H34*J34</f>
        <v>31.5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4.58</v>
      </c>
      <c r="E36" s="21">
        <v>5.0</v>
      </c>
      <c r="F36" s="21"/>
      <c r="G36" s="22">
        <f>SUM(D36,E36,F36)</f>
        <v>9.58</v>
      </c>
      <c r="H36" s="23">
        <f>AVERAGE(D36,E36,F36)</f>
        <v>4.79</v>
      </c>
      <c r="I36" s="4"/>
      <c r="J36" s="24">
        <v>7.5</v>
      </c>
      <c r="K36" s="25"/>
      <c r="L36" s="26">
        <f>H36*J36</f>
        <v>35.925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28" t="s">
        <v>64</v>
      </c>
      <c r="C37" s="29"/>
      <c r="D37" s="30" t="s">
        <v>61</v>
      </c>
      <c r="E37" s="34" t="s">
        <v>65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17.99</v>
      </c>
      <c r="E38" s="21">
        <v>17.0</v>
      </c>
      <c r="F38" s="21"/>
      <c r="G38" s="22">
        <f>SUM(D38,E38,F38)</f>
        <v>34.99</v>
      </c>
      <c r="H38" s="23">
        <f>AVERAGE(D38,E38,F38)</f>
        <v>17.495</v>
      </c>
      <c r="I38" s="4"/>
      <c r="J38" s="24">
        <v>3.0</v>
      </c>
      <c r="K38" s="25"/>
      <c r="L38" s="26">
        <f>H38*J38</f>
        <v>52.485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67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3.89</v>
      </c>
      <c r="E40" s="21">
        <v>3.89</v>
      </c>
      <c r="F40" s="21"/>
      <c r="G40" s="22">
        <f>SUM(D40,E40,F40)</f>
        <v>7.78</v>
      </c>
      <c r="H40" s="23">
        <f>AVERAGE(D40,E40,F40)</f>
        <v>3.89</v>
      </c>
      <c r="I40" s="4"/>
      <c r="J40" s="24">
        <v>4.0</v>
      </c>
      <c r="K40" s="25"/>
      <c r="L40" s="26">
        <f>H40*J40</f>
        <v>15.56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3.65</v>
      </c>
      <c r="G42" s="22">
        <f>SUM(D42,E42,F42)</f>
        <v>3.65</v>
      </c>
      <c r="H42" s="23">
        <f>AVERAGE(D42,E42,F42)</f>
        <v>3.65</v>
      </c>
      <c r="I42" s="4"/>
      <c r="J42" s="24">
        <v>4.0</v>
      </c>
      <c r="K42" s="25"/>
      <c r="L42" s="26">
        <f>H42*J42</f>
        <v>14.6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3" t="s">
        <v>75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41.9</v>
      </c>
      <c r="E44" s="21"/>
      <c r="F44" s="21"/>
      <c r="G44" s="22">
        <f>SUM(D44,E44,F44)</f>
        <v>41.9</v>
      </c>
      <c r="H44" s="23">
        <f>AVERAGE(D44,E44,F44)</f>
        <v>41.9</v>
      </c>
      <c r="I44" s="4"/>
      <c r="J44" s="24">
        <v>3.0</v>
      </c>
      <c r="K44" s="25"/>
      <c r="L44" s="26">
        <f>H44*J44</f>
        <v>125.7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3" t="s">
        <v>79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38.0</v>
      </c>
      <c r="E46" s="21">
        <v>27.0</v>
      </c>
      <c r="F46" s="21"/>
      <c r="G46" s="22">
        <f>SUM(D46,E46,F46)</f>
        <v>65</v>
      </c>
      <c r="H46" s="23">
        <f>AVERAGE(D46,E46,F46)</f>
        <v>32.5</v>
      </c>
      <c r="I46" s="4"/>
      <c r="J46" s="24">
        <v>4.0</v>
      </c>
      <c r="K46" s="25"/>
      <c r="L46" s="26">
        <f>H46*J46</f>
        <v>130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4" t="s">
        <v>81</v>
      </c>
      <c r="E47" s="30" t="s">
        <v>82</v>
      </c>
      <c r="F47" s="14" t="s">
        <v>33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8.3</v>
      </c>
      <c r="E48" s="21">
        <v>9.0</v>
      </c>
      <c r="F48" s="21"/>
      <c r="G48" s="22">
        <f>SUM(D48,E48,F48)</f>
        <v>17.3</v>
      </c>
      <c r="H48" s="23">
        <f>AVERAGE(D48,E48,F48)</f>
        <v>8.65</v>
      </c>
      <c r="I48" s="4"/>
      <c r="J48" s="24">
        <v>5.0</v>
      </c>
      <c r="K48" s="25"/>
      <c r="L48" s="26">
        <f>H48*J48</f>
        <v>43.25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8.0</v>
      </c>
      <c r="E50" s="21"/>
      <c r="F50" s="21"/>
      <c r="G50" s="22">
        <f>SUM(D50,E50,F50)</f>
        <v>8</v>
      </c>
      <c r="H50" s="23">
        <f>AVERAGE(D50,E50,F50)</f>
        <v>8</v>
      </c>
      <c r="I50" s="4"/>
      <c r="J50" s="24">
        <v>0.5</v>
      </c>
      <c r="K50" s="25"/>
      <c r="L50" s="26">
        <f>H50*J50</f>
        <v>4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87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18.9</v>
      </c>
      <c r="E52" s="21">
        <v>18.0</v>
      </c>
      <c r="F52" s="21"/>
      <c r="G52" s="22">
        <f>SUM(D52,E52,F52)</f>
        <v>36.9</v>
      </c>
      <c r="H52" s="23">
        <f>AVERAGE(D52,E52,F52)</f>
        <v>18.45</v>
      </c>
      <c r="I52" s="4"/>
      <c r="J52" s="24">
        <v>0.3</v>
      </c>
      <c r="K52" s="25"/>
      <c r="L52" s="26">
        <f>H52*J52</f>
        <v>5.535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0" t="s">
        <v>90</v>
      </c>
      <c r="F53" s="13" t="s">
        <v>91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38.99</v>
      </c>
      <c r="E54" s="21"/>
      <c r="F54" s="21"/>
      <c r="G54" s="22">
        <f>SUM(D54,E54,F54)</f>
        <v>38.99</v>
      </c>
      <c r="H54" s="23">
        <f>AVERAGE(D54,E54,F54)</f>
        <v>38.99</v>
      </c>
      <c r="I54" s="4"/>
      <c r="J54" s="37">
        <v>0.5</v>
      </c>
      <c r="K54" s="38"/>
      <c r="L54" s="26">
        <f>H54*J54</f>
        <v>19.495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9" t="s">
        <v>92</v>
      </c>
      <c r="B55" s="32"/>
      <c r="C55" s="32"/>
      <c r="D55" s="32"/>
      <c r="E55" s="32"/>
      <c r="F55" s="32"/>
      <c r="G55" s="40"/>
      <c r="H55" s="41">
        <f>SUM(H4:H54)</f>
        <v>333.385</v>
      </c>
      <c r="I55" s="42"/>
      <c r="J55" s="43" t="s">
        <v>6</v>
      </c>
      <c r="K55" s="40"/>
      <c r="L55" s="44">
        <f>SUM(L4:L54)</f>
        <v>937.36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93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5.3</v>
      </c>
      <c r="E58" s="21">
        <v>5.0</v>
      </c>
      <c r="F58" s="21"/>
      <c r="G58" s="22">
        <f>SUM(D58,E58,F58)</f>
        <v>10.3</v>
      </c>
      <c r="H58" s="23">
        <f>AVERAGE(D58,E58,F58)</f>
        <v>5.15</v>
      </c>
      <c r="I58" s="4"/>
      <c r="J58" s="24">
        <v>4.0</v>
      </c>
      <c r="K58" s="25"/>
      <c r="L58" s="26">
        <f>H58*J58</f>
        <v>20.6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4" t="s">
        <v>98</v>
      </c>
      <c r="E59" s="34" t="s">
        <v>99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3.15</v>
      </c>
      <c r="E60" s="21">
        <v>3.0</v>
      </c>
      <c r="F60" s="35"/>
      <c r="G60" s="22">
        <f>SUM(D60,E60,F60)</f>
        <v>6.15</v>
      </c>
      <c r="H60" s="23">
        <f>AVERAGE(D60,E60,F60)</f>
        <v>3.075</v>
      </c>
      <c r="I60" s="4"/>
      <c r="J60" s="24">
        <v>15.0</v>
      </c>
      <c r="K60" s="25"/>
      <c r="L60" s="26">
        <f>H60*J60</f>
        <v>46.125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101</v>
      </c>
      <c r="F61" s="13" t="s">
        <v>102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2.1</v>
      </c>
      <c r="E62" s="21"/>
      <c r="F62" s="21"/>
      <c r="G62" s="22">
        <f>SUM(D62,E62,F62)</f>
        <v>2.1</v>
      </c>
      <c r="H62" s="23">
        <f>AVERAGE(D62,E62,F62)</f>
        <v>2.1</v>
      </c>
      <c r="I62" s="4"/>
      <c r="J62" s="24">
        <v>2.0</v>
      </c>
      <c r="K62" s="25"/>
      <c r="L62" s="26">
        <f>H62*J62</f>
        <v>4.2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2.59</v>
      </c>
      <c r="E64" s="21">
        <v>2.59</v>
      </c>
      <c r="F64" s="21"/>
      <c r="G64" s="22">
        <f>SUM(D64,E64,F64)</f>
        <v>5.18</v>
      </c>
      <c r="H64" s="23">
        <f>AVERAGE(D64,E64,F64)</f>
        <v>2.59</v>
      </c>
      <c r="I64" s="4"/>
      <c r="J64" s="24">
        <v>2.0</v>
      </c>
      <c r="K64" s="25"/>
      <c r="L64" s="26">
        <f>H64*J64</f>
        <v>5.18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12.915</v>
      </c>
      <c r="I65" s="42"/>
      <c r="J65" s="43" t="s">
        <v>6</v>
      </c>
      <c r="K65" s="40"/>
      <c r="L65" s="44">
        <f>SUM(L57:L64)</f>
        <v>76.105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110</v>
      </c>
      <c r="F67" s="13" t="s">
        <v>111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4.8</v>
      </c>
      <c r="E68" s="21"/>
      <c r="F68" s="21"/>
      <c r="G68" s="22">
        <f>SUM(D68,E68,F68)</f>
        <v>4.8</v>
      </c>
      <c r="H68" s="23">
        <f>AVERAGE(D68,E68,F68)</f>
        <v>4.8</v>
      </c>
      <c r="I68" s="4"/>
      <c r="J68" s="24">
        <v>3.0</v>
      </c>
      <c r="K68" s="25"/>
      <c r="L68" s="26">
        <f>H68*J68</f>
        <v>14.4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4.0</v>
      </c>
      <c r="E70" s="21">
        <v>3.99</v>
      </c>
      <c r="F70" s="35"/>
      <c r="G70" s="22">
        <f>SUM(D70,E70,F70)</f>
        <v>7.99</v>
      </c>
      <c r="H70" s="23">
        <f>AVERAGE(D70,E70,F70)</f>
        <v>3.995</v>
      </c>
      <c r="I70" s="4"/>
      <c r="J70" s="24">
        <v>2.0</v>
      </c>
      <c r="K70" s="25"/>
      <c r="L70" s="26">
        <f>H70*J70</f>
        <v>7.99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2.55</v>
      </c>
      <c r="E72" s="21">
        <v>2.55</v>
      </c>
      <c r="F72" s="21"/>
      <c r="G72" s="22">
        <f>SUM(D72,E72,F72)</f>
        <v>5.1</v>
      </c>
      <c r="H72" s="23">
        <f>AVERAGE(D72,E72,F72)</f>
        <v>2.55</v>
      </c>
      <c r="I72" s="4"/>
      <c r="J72" s="24">
        <v>10.0</v>
      </c>
      <c r="K72" s="25"/>
      <c r="L72" s="26">
        <f>H72*J72</f>
        <v>25.5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121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12.8</v>
      </c>
      <c r="E74" s="21">
        <v>16.9</v>
      </c>
      <c r="F74" s="35"/>
      <c r="G74" s="22">
        <f>SUM(D74,E74,F74)</f>
        <v>29.7</v>
      </c>
      <c r="H74" s="23">
        <f>AVERAGE(D74,E74,F74)</f>
        <v>14.85</v>
      </c>
      <c r="I74" s="4"/>
      <c r="J74" s="24">
        <v>2.0</v>
      </c>
      <c r="K74" s="25"/>
      <c r="L74" s="26">
        <f>H74*J74</f>
        <v>29.7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5.1</v>
      </c>
      <c r="E76" s="21">
        <v>5.1</v>
      </c>
      <c r="F76" s="35"/>
      <c r="G76" s="22">
        <f>SUM(D76,E76,F76)</f>
        <v>10.2</v>
      </c>
      <c r="H76" s="23">
        <f>AVERAGE(D76,E76,F76)</f>
        <v>5.1</v>
      </c>
      <c r="I76" s="4"/>
      <c r="J76" s="24">
        <v>1.0</v>
      </c>
      <c r="K76" s="25"/>
      <c r="L76" s="26">
        <f>H76*J76</f>
        <v>5.1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31.295</v>
      </c>
      <c r="I77" s="42"/>
      <c r="J77" s="43" t="s">
        <v>6</v>
      </c>
      <c r="K77" s="40"/>
      <c r="L77" s="49">
        <f>SUM(L68:L76)</f>
        <v>82.69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377.595</v>
      </c>
      <c r="I80" s="4"/>
      <c r="J80" s="4"/>
      <c r="K80" s="54" t="s">
        <v>6</v>
      </c>
      <c r="L80" s="49">
        <f>L55+L65+L77</f>
        <v>1096.155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</row>
    <row r="2">
      <c r="A2" s="64" t="s">
        <v>125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</row>
    <row r="4">
      <c r="A4" s="18"/>
      <c r="B4" s="74"/>
      <c r="C4" s="20"/>
      <c r="D4" s="75">
        <v>26.9</v>
      </c>
      <c r="E4" s="75">
        <v>27.0</v>
      </c>
      <c r="F4" s="75"/>
      <c r="G4" s="76">
        <f>SUM(D4,E4,F4)</f>
        <v>53.9</v>
      </c>
      <c r="H4" s="77">
        <f>AVERAGE(D4,E4,F4)</f>
        <v>26.95</v>
      </c>
      <c r="I4" s="72"/>
      <c r="J4" s="78">
        <v>3.0</v>
      </c>
      <c r="K4" s="79" t="s">
        <v>11</v>
      </c>
      <c r="L4" s="80">
        <f>H4*J4</f>
        <v>80.85</v>
      </c>
      <c r="M4" s="63"/>
      <c r="N4" s="63"/>
      <c r="O4" s="63"/>
      <c r="P4" s="63"/>
      <c r="Q4" s="63"/>
      <c r="R4" s="63"/>
      <c r="S4" s="63"/>
      <c r="T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</row>
    <row r="6">
      <c r="A6" s="18"/>
      <c r="B6" s="74"/>
      <c r="C6" s="20"/>
      <c r="D6" s="75">
        <v>5.78</v>
      </c>
      <c r="E6" s="75">
        <v>5.4</v>
      </c>
      <c r="F6" s="75"/>
      <c r="G6" s="76">
        <f>SUM(D6,E6,F6)</f>
        <v>11.18</v>
      </c>
      <c r="H6" s="77">
        <f>AVERAGE(D6,E6,F6)</f>
        <v>5.59</v>
      </c>
      <c r="I6" s="72"/>
      <c r="J6" s="78">
        <v>4.0</v>
      </c>
      <c r="K6" s="79"/>
      <c r="L6" s="80">
        <f>H6*J6</f>
        <v>22.36</v>
      </c>
      <c r="M6" s="63"/>
      <c r="N6" s="63"/>
      <c r="O6" s="63"/>
      <c r="P6" s="63"/>
      <c r="Q6" s="63"/>
      <c r="R6" s="63"/>
      <c r="S6" s="63"/>
      <c r="T6" s="63"/>
    </row>
    <row r="7">
      <c r="A7" s="68">
        <f>A5+1</f>
        <v>3</v>
      </c>
      <c r="B7" s="69" t="s">
        <v>15</v>
      </c>
      <c r="C7" s="12"/>
      <c r="D7" s="83" t="s">
        <v>128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</row>
    <row r="8">
      <c r="A8" s="18"/>
      <c r="B8" s="74"/>
      <c r="C8" s="20"/>
      <c r="D8" s="75">
        <v>16.99</v>
      </c>
      <c r="E8" s="75"/>
      <c r="F8" s="75"/>
      <c r="G8" s="76">
        <f>SUM(D8,E8,F8)</f>
        <v>16.99</v>
      </c>
      <c r="H8" s="77">
        <f>AVERAGE(D8,E8,F8)</f>
        <v>16.99</v>
      </c>
      <c r="I8" s="72"/>
      <c r="J8" s="78">
        <v>2.0</v>
      </c>
      <c r="K8" s="79"/>
      <c r="L8" s="80">
        <f>H8*J8</f>
        <v>33.98</v>
      </c>
      <c r="M8" s="63"/>
      <c r="N8" s="63"/>
      <c r="O8" s="63"/>
      <c r="P8" s="63"/>
      <c r="Q8" s="63"/>
      <c r="R8" s="63"/>
      <c r="S8" s="63"/>
      <c r="T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130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</row>
    <row r="10">
      <c r="A10" s="18"/>
      <c r="B10" s="74"/>
      <c r="C10" s="20"/>
      <c r="D10" s="75">
        <v>28.99</v>
      </c>
      <c r="E10" s="75">
        <v>29.99</v>
      </c>
      <c r="F10" s="75"/>
      <c r="G10" s="76">
        <f>SUM(D10,E10,F10)</f>
        <v>58.98</v>
      </c>
      <c r="H10" s="77">
        <f>AVERAGE(D10,E10,F10)</f>
        <v>29.49</v>
      </c>
      <c r="I10" s="72"/>
      <c r="J10" s="78">
        <v>3.0</v>
      </c>
      <c r="K10" s="79"/>
      <c r="L10" s="80">
        <f>H10*J10</f>
        <v>88.47</v>
      </c>
      <c r="M10" s="63"/>
      <c r="N10" s="63"/>
      <c r="O10" s="63"/>
      <c r="P10" s="63"/>
      <c r="Q10" s="63"/>
      <c r="R10" s="63"/>
      <c r="S10" s="63"/>
      <c r="T10" s="63"/>
    </row>
    <row r="11">
      <c r="A11" s="68">
        <f>A9+1</f>
        <v>5</v>
      </c>
      <c r="B11" s="69" t="s">
        <v>23</v>
      </c>
      <c r="C11" s="12"/>
      <c r="D11" s="83" t="s">
        <v>131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</row>
    <row r="12">
      <c r="A12" s="18"/>
      <c r="B12" s="74"/>
      <c r="C12" s="20"/>
      <c r="D12" s="75">
        <v>6.2</v>
      </c>
      <c r="E12" s="75">
        <v>6.28</v>
      </c>
      <c r="F12" s="75"/>
      <c r="G12" s="76">
        <f>SUM(D12,E12,F12)</f>
        <v>12.48</v>
      </c>
      <c r="H12" s="77">
        <f>AVERAGE(D12,E12,F12)</f>
        <v>6.24</v>
      </c>
      <c r="I12" s="72"/>
      <c r="J12" s="78">
        <v>3.0</v>
      </c>
      <c r="K12" s="79"/>
      <c r="L12" s="80">
        <f>H12*J12</f>
        <v>18.72</v>
      </c>
      <c r="M12" s="63"/>
      <c r="N12" s="63"/>
      <c r="O12" s="63"/>
      <c r="P12" s="63"/>
      <c r="Q12" s="63"/>
      <c r="R12" s="63"/>
      <c r="S12" s="63"/>
      <c r="T12" s="63"/>
    </row>
    <row r="13">
      <c r="A13" s="68">
        <f>A11+1</f>
        <v>6</v>
      </c>
      <c r="B13" s="69" t="s">
        <v>27</v>
      </c>
      <c r="C13" s="12"/>
      <c r="D13" s="83" t="s">
        <v>132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</row>
    <row r="14">
      <c r="A14" s="18"/>
      <c r="B14" s="74"/>
      <c r="C14" s="20"/>
      <c r="D14" s="75"/>
      <c r="E14" s="75"/>
      <c r="F14" s="75">
        <v>6.99</v>
      </c>
      <c r="G14" s="76">
        <f>SUM(D14,E14,F14)</f>
        <v>6.99</v>
      </c>
      <c r="H14" s="77">
        <f>AVERAGE(D14,E14,F14)</f>
        <v>6.99</v>
      </c>
      <c r="I14" s="72"/>
      <c r="J14" s="78">
        <v>1.0</v>
      </c>
      <c r="K14" s="79"/>
      <c r="L14" s="80">
        <f>H14*J14</f>
        <v>6.99</v>
      </c>
      <c r="M14" s="63"/>
      <c r="N14" s="63"/>
      <c r="O14" s="63"/>
      <c r="P14" s="63"/>
      <c r="Q14" s="63"/>
      <c r="R14" s="63"/>
      <c r="S14" s="63"/>
      <c r="T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</row>
    <row r="16">
      <c r="A16" s="18"/>
      <c r="B16" s="74"/>
      <c r="C16" s="20"/>
      <c r="D16" s="75">
        <v>4.99</v>
      </c>
      <c r="E16" s="84"/>
      <c r="F16" s="84"/>
      <c r="G16" s="76">
        <f>SUM(D16,E16,F16)</f>
        <v>4.99</v>
      </c>
      <c r="H16" s="77">
        <f>AVERAGE(D16,E16,F16)</f>
        <v>4.99</v>
      </c>
      <c r="I16" s="72"/>
      <c r="J16" s="78">
        <v>4.0</v>
      </c>
      <c r="K16" s="79"/>
      <c r="L16" s="80">
        <f>H16*J16</f>
        <v>19.96</v>
      </c>
      <c r="M16" s="63"/>
      <c r="N16" s="63"/>
      <c r="O16" s="63"/>
      <c r="P16" s="63"/>
      <c r="Q16" s="63"/>
      <c r="R16" s="63"/>
      <c r="S16" s="63"/>
      <c r="T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</row>
    <row r="18">
      <c r="A18" s="18"/>
      <c r="B18" s="74"/>
      <c r="C18" s="20"/>
      <c r="D18" s="75">
        <v>3.99</v>
      </c>
      <c r="E18" s="84"/>
      <c r="F18" s="84"/>
      <c r="G18" s="76">
        <f>SUM(D18,E18,F18)</f>
        <v>3.99</v>
      </c>
      <c r="H18" s="77">
        <f>AVERAGE(D18,E18,F18)</f>
        <v>3.99</v>
      </c>
      <c r="I18" s="72"/>
      <c r="J18" s="78">
        <v>1.0</v>
      </c>
      <c r="K18" s="79"/>
      <c r="L18" s="80">
        <f>H18*J18</f>
        <v>3.99</v>
      </c>
      <c r="M18" s="63"/>
      <c r="N18" s="63"/>
      <c r="O18" s="63"/>
      <c r="P18" s="63"/>
      <c r="Q18" s="63"/>
      <c r="R18" s="63"/>
      <c r="S18" s="63"/>
      <c r="T18" s="63"/>
    </row>
    <row r="19">
      <c r="A19" s="68">
        <f>A17+1</f>
        <v>9</v>
      </c>
      <c r="B19" s="69" t="s">
        <v>36</v>
      </c>
      <c r="C19" s="12"/>
      <c r="D19" s="83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</row>
    <row r="20">
      <c r="A20" s="18"/>
      <c r="B20" s="74"/>
      <c r="C20" s="20"/>
      <c r="D20" s="75">
        <v>5.9</v>
      </c>
      <c r="E20" s="84"/>
      <c r="F20" s="84"/>
      <c r="G20" s="76">
        <f>SUM(D20,E20,F20)</f>
        <v>5.9</v>
      </c>
      <c r="H20" s="77">
        <f>AVERAGE(D20,E20,F20)</f>
        <v>5.9</v>
      </c>
      <c r="I20" s="72"/>
      <c r="J20" s="78">
        <v>9.0</v>
      </c>
      <c r="K20" s="79"/>
      <c r="L20" s="80">
        <f>H20*J20</f>
        <v>53.1</v>
      </c>
      <c r="M20" s="63"/>
      <c r="N20" s="63"/>
      <c r="O20" s="63"/>
      <c r="P20" s="63"/>
      <c r="Q20" s="63"/>
      <c r="R20" s="63"/>
      <c r="S20" s="63"/>
      <c r="T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</row>
    <row r="22">
      <c r="A22" s="18"/>
      <c r="B22" s="74"/>
      <c r="C22" s="20"/>
      <c r="D22" s="75">
        <v>27.3</v>
      </c>
      <c r="E22" s="84"/>
      <c r="F22" s="84"/>
      <c r="G22" s="76">
        <f>SUM(D22,E22,F22)</f>
        <v>27.3</v>
      </c>
      <c r="H22" s="77">
        <f>AVERAGE(D22,E22,F22)</f>
        <v>27.3</v>
      </c>
      <c r="I22" s="72"/>
      <c r="J22" s="78">
        <v>0.2</v>
      </c>
      <c r="K22" s="79"/>
      <c r="L22" s="80">
        <f>H22*J22</f>
        <v>5.46</v>
      </c>
      <c r="M22" s="63"/>
      <c r="N22" s="63"/>
      <c r="O22" s="63"/>
      <c r="P22" s="63"/>
      <c r="Q22" s="63"/>
      <c r="R22" s="63"/>
      <c r="S22" s="63"/>
      <c r="T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</row>
    <row r="24">
      <c r="A24" s="18"/>
      <c r="B24" s="74"/>
      <c r="C24" s="20"/>
      <c r="D24" s="75">
        <v>10.99</v>
      </c>
      <c r="E24" s="75"/>
      <c r="F24" s="84"/>
      <c r="G24" s="76">
        <f>SUM(D24,E24,F24)</f>
        <v>10.99</v>
      </c>
      <c r="H24" s="77">
        <f>AVERAGE(D24,E24,F24)</f>
        <v>10.99</v>
      </c>
      <c r="I24" s="72"/>
      <c r="J24" s="78">
        <v>3.0</v>
      </c>
      <c r="K24" s="79"/>
      <c r="L24" s="80">
        <f>H24*J24</f>
        <v>32.97</v>
      </c>
      <c r="M24" s="63"/>
      <c r="N24" s="63"/>
      <c r="O24" s="63"/>
      <c r="P24" s="63"/>
      <c r="Q24" s="63"/>
      <c r="R24" s="63"/>
      <c r="S24" s="63"/>
      <c r="T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</row>
    <row r="26">
      <c r="A26" s="18"/>
      <c r="B26" s="74"/>
      <c r="C26" s="20"/>
      <c r="D26" s="75">
        <v>4.89</v>
      </c>
      <c r="E26" s="75">
        <v>5.1</v>
      </c>
      <c r="F26" s="75">
        <v>5.1</v>
      </c>
      <c r="G26" s="76">
        <f>SUM(D26,E26,F26)</f>
        <v>15.09</v>
      </c>
      <c r="H26" s="77">
        <f>AVERAGE(D26,E26,F26)</f>
        <v>5.03</v>
      </c>
      <c r="I26" s="72"/>
      <c r="J26" s="78">
        <v>4.0</v>
      </c>
      <c r="K26" s="79"/>
      <c r="L26" s="80">
        <f>H26*J26</f>
        <v>20.12</v>
      </c>
      <c r="M26" s="63"/>
      <c r="N26" s="63"/>
      <c r="O26" s="63"/>
      <c r="P26" s="63"/>
      <c r="Q26" s="63"/>
      <c r="R26" s="63"/>
      <c r="S26" s="63"/>
      <c r="T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</row>
    <row r="28">
      <c r="A28" s="18"/>
      <c r="B28" s="74"/>
      <c r="C28" s="20"/>
      <c r="D28" s="75"/>
      <c r="E28" s="75">
        <v>2.89</v>
      </c>
      <c r="F28" s="75">
        <v>1.99</v>
      </c>
      <c r="G28" s="76">
        <f>SUM(D28,E28,F28)</f>
        <v>4.88</v>
      </c>
      <c r="H28" s="77">
        <f>AVERAGE(D28,E28,F28)</f>
        <v>2.44</v>
      </c>
      <c r="I28" s="72"/>
      <c r="J28" s="78">
        <v>2.0</v>
      </c>
      <c r="K28" s="79"/>
      <c r="L28" s="80">
        <f>H28*J28</f>
        <v>4.88</v>
      </c>
      <c r="M28" s="63"/>
      <c r="N28" s="63"/>
      <c r="O28" s="63"/>
      <c r="P28" s="63"/>
      <c r="Q28" s="63"/>
      <c r="R28" s="63"/>
      <c r="S28" s="63"/>
      <c r="T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</row>
    <row r="30">
      <c r="A30" s="18"/>
      <c r="B30" s="74"/>
      <c r="C30" s="20"/>
      <c r="D30" s="75">
        <v>13.3</v>
      </c>
      <c r="E30" s="84"/>
      <c r="F30" s="84"/>
      <c r="G30" s="76">
        <f>SUM(D30,E30,F30)</f>
        <v>13.3</v>
      </c>
      <c r="H30" s="77">
        <f>AVERAGE(D30,E30,F30)</f>
        <v>13.3</v>
      </c>
      <c r="I30" s="72"/>
      <c r="J30" s="78">
        <v>6.0</v>
      </c>
      <c r="K30" s="79"/>
      <c r="L30" s="80">
        <f>H30*J30</f>
        <v>79.8</v>
      </c>
      <c r="M30" s="63"/>
      <c r="N30" s="63"/>
      <c r="O30" s="63"/>
      <c r="P30" s="63"/>
      <c r="Q30" s="63"/>
      <c r="R30" s="63"/>
      <c r="S30" s="63"/>
      <c r="T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</row>
    <row r="32">
      <c r="A32" s="18"/>
      <c r="B32" s="74"/>
      <c r="C32" s="20"/>
      <c r="D32" s="75">
        <v>4.1</v>
      </c>
      <c r="E32" s="75"/>
      <c r="F32" s="84"/>
      <c r="G32" s="76">
        <f>SUM(D32,E32,F32)</f>
        <v>4.1</v>
      </c>
      <c r="H32" s="77">
        <f>AVERAGE(D32,E32,F32)</f>
        <v>4.1</v>
      </c>
      <c r="I32" s="72"/>
      <c r="J32" s="78">
        <v>7.5</v>
      </c>
      <c r="K32" s="79"/>
      <c r="L32" s="80">
        <f>H32*J32</f>
        <v>30.75</v>
      </c>
      <c r="M32" s="63"/>
      <c r="N32" s="63"/>
      <c r="O32" s="63"/>
      <c r="P32" s="63"/>
      <c r="Q32" s="63"/>
      <c r="R32" s="63"/>
      <c r="S32" s="63"/>
      <c r="T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</row>
    <row r="34">
      <c r="A34" s="18"/>
      <c r="B34" s="74"/>
      <c r="C34" s="20"/>
      <c r="D34" s="75">
        <v>7.5</v>
      </c>
      <c r="E34" s="75"/>
      <c r="F34" s="75"/>
      <c r="G34" s="76">
        <f>SUM(D34,E34,F34)</f>
        <v>7.5</v>
      </c>
      <c r="H34" s="77">
        <f>AVERAGE(D34,E34,F34)</f>
        <v>7.5</v>
      </c>
      <c r="I34" s="72"/>
      <c r="J34" s="78">
        <v>5.0</v>
      </c>
      <c r="K34" s="79"/>
      <c r="L34" s="80">
        <f>H34*J34</f>
        <v>37.5</v>
      </c>
      <c r="M34" s="63"/>
      <c r="N34" s="63"/>
      <c r="O34" s="63"/>
      <c r="P34" s="63"/>
      <c r="Q34" s="63"/>
      <c r="R34" s="63"/>
      <c r="S34" s="63"/>
      <c r="T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</row>
    <row r="36">
      <c r="A36" s="18"/>
      <c r="B36" s="74"/>
      <c r="C36" s="20"/>
      <c r="D36" s="75"/>
      <c r="E36" s="75">
        <v>5.59</v>
      </c>
      <c r="F36" s="75">
        <v>5.15</v>
      </c>
      <c r="G36" s="76">
        <f>SUM(D36,E36,F36)</f>
        <v>10.74</v>
      </c>
      <c r="H36" s="77">
        <f>AVERAGE(D36,E36,F36)</f>
        <v>5.37</v>
      </c>
      <c r="I36" s="72"/>
      <c r="J36" s="78">
        <v>7.5</v>
      </c>
      <c r="K36" s="79"/>
      <c r="L36" s="80">
        <f>H36*J36</f>
        <v>40.275</v>
      </c>
      <c r="M36" s="63"/>
      <c r="N36" s="63"/>
      <c r="O36" s="63"/>
      <c r="P36" s="63"/>
      <c r="Q36" s="63"/>
      <c r="R36" s="63"/>
      <c r="S36" s="63"/>
      <c r="T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</row>
    <row r="38">
      <c r="A38" s="18"/>
      <c r="B38" s="74"/>
      <c r="C38" s="20"/>
      <c r="D38" s="75">
        <v>19.15</v>
      </c>
      <c r="E38" s="75">
        <v>19.9</v>
      </c>
      <c r="F38" s="75"/>
      <c r="G38" s="76">
        <f>SUM(D38,E38,F38)</f>
        <v>39.05</v>
      </c>
      <c r="H38" s="77">
        <f>AVERAGE(D38,E38,F38)</f>
        <v>19.525</v>
      </c>
      <c r="I38" s="72"/>
      <c r="J38" s="78">
        <v>3.0</v>
      </c>
      <c r="K38" s="79"/>
      <c r="L38" s="80">
        <f>H38*J38</f>
        <v>58.575</v>
      </c>
      <c r="M38" s="63"/>
      <c r="N38" s="63"/>
      <c r="O38" s="63"/>
      <c r="P38" s="63"/>
      <c r="Q38" s="63"/>
      <c r="R38" s="63"/>
      <c r="S38" s="63"/>
      <c r="T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</row>
    <row r="40">
      <c r="A40" s="18"/>
      <c r="B40" s="74"/>
      <c r="C40" s="20"/>
      <c r="D40" s="75">
        <v>4.99</v>
      </c>
      <c r="E40" s="75">
        <v>4.3</v>
      </c>
      <c r="F40" s="75">
        <v>4.38</v>
      </c>
      <c r="G40" s="76">
        <f>SUM(D40,E40,F40)</f>
        <v>13.67</v>
      </c>
      <c r="H40" s="77">
        <f>AVERAGE(D40,E40,F40)</f>
        <v>4.556666667</v>
      </c>
      <c r="I40" s="72"/>
      <c r="J40" s="78">
        <v>4.0</v>
      </c>
      <c r="K40" s="79"/>
      <c r="L40" s="80">
        <f>H40*J40</f>
        <v>18.22666667</v>
      </c>
      <c r="M40" s="63"/>
      <c r="N40" s="63"/>
      <c r="O40" s="63"/>
      <c r="P40" s="63"/>
      <c r="Q40" s="63"/>
      <c r="R40" s="63"/>
      <c r="S40" s="63"/>
      <c r="T40" s="63"/>
    </row>
    <row r="41">
      <c r="A41" s="68">
        <f>A39+1</f>
        <v>20</v>
      </c>
      <c r="B41" s="69" t="s">
        <v>68</v>
      </c>
      <c r="C41" s="12"/>
      <c r="D41" s="70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</row>
    <row r="42">
      <c r="A42" s="18"/>
      <c r="B42" s="74"/>
      <c r="C42" s="20"/>
      <c r="D42" s="75"/>
      <c r="E42" s="75">
        <v>3.15</v>
      </c>
      <c r="F42" s="75"/>
      <c r="G42" s="76">
        <f>SUM(D42,E42,F42)</f>
        <v>3.15</v>
      </c>
      <c r="H42" s="77">
        <f>AVERAGE(D42,E42,F42)</f>
        <v>3.15</v>
      </c>
      <c r="I42" s="72"/>
      <c r="J42" s="78">
        <v>4.0</v>
      </c>
      <c r="K42" s="79"/>
      <c r="L42" s="80">
        <f>H42*J42</f>
        <v>12.6</v>
      </c>
      <c r="M42" s="63"/>
      <c r="N42" s="63"/>
      <c r="O42" s="63"/>
      <c r="P42" s="63"/>
      <c r="Q42" s="63"/>
      <c r="R42" s="63"/>
      <c r="S42" s="63"/>
      <c r="T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</row>
    <row r="44">
      <c r="A44" s="18"/>
      <c r="B44" s="74"/>
      <c r="C44" s="20"/>
      <c r="D44" s="75">
        <v>43.9</v>
      </c>
      <c r="E44" s="75"/>
      <c r="F44" s="75"/>
      <c r="G44" s="76">
        <f>SUM(D44,E44,F44)</f>
        <v>43.9</v>
      </c>
      <c r="H44" s="77">
        <f>AVERAGE(D44,E44,F44)</f>
        <v>43.9</v>
      </c>
      <c r="I44" s="72"/>
      <c r="J44" s="78">
        <v>3.0</v>
      </c>
      <c r="K44" s="79"/>
      <c r="L44" s="80">
        <f>H44*J44</f>
        <v>131.7</v>
      </c>
      <c r="M44" s="63"/>
      <c r="N44" s="63"/>
      <c r="O44" s="63"/>
      <c r="P44" s="63"/>
      <c r="Q44" s="63"/>
      <c r="R44" s="63"/>
      <c r="S44" s="63"/>
      <c r="T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</row>
    <row r="46">
      <c r="A46" s="18"/>
      <c r="B46" s="74"/>
      <c r="C46" s="20"/>
      <c r="D46" s="75">
        <v>36.99</v>
      </c>
      <c r="E46" s="75">
        <v>28.0</v>
      </c>
      <c r="F46" s="75"/>
      <c r="G46" s="76">
        <f>SUM(D46,E46,F46)</f>
        <v>64.99</v>
      </c>
      <c r="H46" s="77">
        <f>AVERAGE(D46,E46,F46)</f>
        <v>32.495</v>
      </c>
      <c r="I46" s="72"/>
      <c r="J46" s="78">
        <v>4.0</v>
      </c>
      <c r="K46" s="79"/>
      <c r="L46" s="80">
        <f>H46*J46</f>
        <v>129.98</v>
      </c>
      <c r="M46" s="63"/>
      <c r="N46" s="63"/>
      <c r="O46" s="63"/>
      <c r="P46" s="63"/>
      <c r="Q46" s="63"/>
      <c r="R46" s="63"/>
      <c r="S46" s="63"/>
      <c r="T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</row>
    <row r="48">
      <c r="A48" s="18"/>
      <c r="B48" s="74"/>
      <c r="C48" s="20"/>
      <c r="D48" s="75">
        <v>10.9</v>
      </c>
      <c r="E48" s="75"/>
      <c r="F48" s="84"/>
      <c r="G48" s="76">
        <f>SUM(D48,E48,F48)</f>
        <v>10.9</v>
      </c>
      <c r="H48" s="77">
        <f>AVERAGE(D48,E48,F48)</f>
        <v>10.9</v>
      </c>
      <c r="I48" s="72"/>
      <c r="J48" s="78">
        <v>5.0</v>
      </c>
      <c r="K48" s="79"/>
      <c r="L48" s="80">
        <f>H48*J48</f>
        <v>54.5</v>
      </c>
      <c r="M48" s="63"/>
      <c r="N48" s="63"/>
      <c r="O48" s="63"/>
      <c r="P48" s="63"/>
      <c r="Q48" s="63"/>
      <c r="R48" s="63"/>
      <c r="S48" s="63"/>
      <c r="T48" s="63"/>
    </row>
    <row r="49">
      <c r="A49" s="68">
        <f>A47+1</f>
        <v>24</v>
      </c>
      <c r="B49" s="69" t="s">
        <v>83</v>
      </c>
      <c r="C49" s="12"/>
      <c r="D49" s="83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</row>
    <row r="50">
      <c r="A50" s="18"/>
      <c r="B50" s="74"/>
      <c r="C50" s="20"/>
      <c r="D50" s="75">
        <v>8.0</v>
      </c>
      <c r="E50" s="75">
        <v>10.0</v>
      </c>
      <c r="F50" s="75"/>
      <c r="G50" s="76">
        <f>SUM(D50,E50,F50)</f>
        <v>18</v>
      </c>
      <c r="H50" s="77">
        <f>AVERAGE(D50,E50,F50)</f>
        <v>9</v>
      </c>
      <c r="I50" s="72"/>
      <c r="J50" s="78">
        <v>0.5</v>
      </c>
      <c r="K50" s="79"/>
      <c r="L50" s="80">
        <f>H50*J50</f>
        <v>4.5</v>
      </c>
      <c r="M50" s="63"/>
      <c r="N50" s="63"/>
      <c r="O50" s="63"/>
      <c r="P50" s="63"/>
      <c r="Q50" s="63"/>
      <c r="R50" s="63"/>
      <c r="S50" s="63"/>
      <c r="T50" s="63"/>
    </row>
    <row r="51">
      <c r="A51" s="68">
        <f>A49+1</f>
        <v>25</v>
      </c>
      <c r="B51" s="69" t="s">
        <v>86</v>
      </c>
      <c r="C51" s="12"/>
      <c r="D51" s="70" t="s">
        <v>140</v>
      </c>
      <c r="E51" s="70" t="s">
        <v>82</v>
      </c>
      <c r="F51" s="70" t="s">
        <v>141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</row>
    <row r="52">
      <c r="A52" s="18"/>
      <c r="B52" s="74"/>
      <c r="C52" s="20"/>
      <c r="D52" s="75">
        <v>13.9</v>
      </c>
      <c r="E52" s="75">
        <v>16.99</v>
      </c>
      <c r="F52" s="75"/>
      <c r="G52" s="76">
        <f>SUM(D52,E52,F52)</f>
        <v>30.89</v>
      </c>
      <c r="H52" s="77">
        <f>AVERAGE(D52,E52,F52)</f>
        <v>15.445</v>
      </c>
      <c r="I52" s="72"/>
      <c r="J52" s="78">
        <v>0.3</v>
      </c>
      <c r="K52" s="79"/>
      <c r="L52" s="80">
        <f>H52*J52</f>
        <v>4.6335</v>
      </c>
      <c r="M52" s="63"/>
      <c r="N52" s="63"/>
      <c r="O52" s="63"/>
      <c r="P52" s="63"/>
      <c r="Q52" s="63"/>
      <c r="R52" s="63"/>
      <c r="S52" s="63"/>
      <c r="T52" s="63"/>
    </row>
    <row r="53">
      <c r="A53" s="68">
        <f>A51+1</f>
        <v>26</v>
      </c>
      <c r="B53" s="69" t="s">
        <v>88</v>
      </c>
      <c r="C53" s="12"/>
      <c r="D53" s="70" t="s">
        <v>142</v>
      </c>
      <c r="E53" s="70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</row>
    <row r="54">
      <c r="A54" s="18"/>
      <c r="B54" s="74"/>
      <c r="C54" s="20"/>
      <c r="D54" s="75">
        <v>38.0</v>
      </c>
      <c r="E54" s="75">
        <v>38.99</v>
      </c>
      <c r="F54" s="75"/>
      <c r="G54" s="76">
        <f>SUM(D54,E54,F54)</f>
        <v>76.99</v>
      </c>
      <c r="H54" s="77">
        <f>AVERAGE(D54,E54,F54)</f>
        <v>38.495</v>
      </c>
      <c r="I54" s="85"/>
      <c r="J54" s="78">
        <v>0.5</v>
      </c>
      <c r="K54" s="85"/>
      <c r="L54" s="80">
        <f>H54*J54</f>
        <v>19.2475</v>
      </c>
      <c r="M54" s="63"/>
      <c r="N54" s="63"/>
      <c r="O54" s="63"/>
      <c r="P54" s="63"/>
      <c r="Q54" s="63"/>
      <c r="R54" s="63"/>
      <c r="S54" s="63"/>
      <c r="T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360.6266667</v>
      </c>
      <c r="I55" s="85"/>
      <c r="J55" s="88" t="s">
        <v>6</v>
      </c>
      <c r="K55" s="20"/>
      <c r="L55" s="89">
        <f>SUM(L4:L54)</f>
        <v>1014.137667</v>
      </c>
      <c r="M55" s="63"/>
      <c r="N55" s="63"/>
      <c r="O55" s="63"/>
      <c r="P55" s="63"/>
      <c r="Q55" s="63"/>
      <c r="R55" s="63"/>
      <c r="S55" s="63"/>
      <c r="T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</row>
    <row r="58">
      <c r="A58" s="18"/>
      <c r="B58" s="74"/>
      <c r="C58" s="20"/>
      <c r="D58" s="75">
        <v>8.0</v>
      </c>
      <c r="E58" s="75">
        <v>6.99</v>
      </c>
      <c r="F58" s="75"/>
      <c r="G58" s="76">
        <f>SUM(D58,E58,F58)</f>
        <v>14.99</v>
      </c>
      <c r="H58" s="77">
        <f>AVERAGE(D58,E58,F58)</f>
        <v>7.495</v>
      </c>
      <c r="I58" s="72"/>
      <c r="J58" s="78">
        <v>4.0</v>
      </c>
      <c r="K58" s="79"/>
      <c r="L58" s="80">
        <f>H58*J58</f>
        <v>29.98</v>
      </c>
      <c r="M58" s="63"/>
      <c r="N58" s="63"/>
      <c r="O58" s="63"/>
      <c r="P58" s="63"/>
      <c r="Q58" s="63"/>
      <c r="R58" s="63"/>
      <c r="S58" s="63"/>
      <c r="T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</row>
    <row r="60">
      <c r="A60" s="18"/>
      <c r="B60" s="74"/>
      <c r="C60" s="20"/>
      <c r="D60" s="75">
        <v>3.89</v>
      </c>
      <c r="E60" s="75">
        <v>3.89</v>
      </c>
      <c r="F60" s="84"/>
      <c r="G60" s="76">
        <f>SUM(D60,E60,F60)</f>
        <v>7.78</v>
      </c>
      <c r="H60" s="77">
        <f>AVERAGE(D60,E60,F60)</f>
        <v>3.89</v>
      </c>
      <c r="I60" s="72"/>
      <c r="J60" s="78">
        <v>15.0</v>
      </c>
      <c r="K60" s="79"/>
      <c r="L60" s="80">
        <f>H60*J60</f>
        <v>58.35</v>
      </c>
      <c r="M60" s="63"/>
      <c r="N60" s="63"/>
      <c r="O60" s="63"/>
      <c r="P60" s="63"/>
      <c r="Q60" s="63"/>
      <c r="R60" s="63"/>
      <c r="S60" s="63"/>
      <c r="T60" s="63"/>
    </row>
    <row r="61">
      <c r="A61" s="68">
        <f>A59+1</f>
        <v>29</v>
      </c>
      <c r="B61" s="69" t="s">
        <v>100</v>
      </c>
      <c r="C61" s="12"/>
      <c r="D61" s="70" t="s">
        <v>146</v>
      </c>
      <c r="E61" s="70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</row>
    <row r="62">
      <c r="A62" s="18"/>
      <c r="B62" s="74"/>
      <c r="C62" s="20"/>
      <c r="D62" s="75">
        <v>4.1</v>
      </c>
      <c r="E62" s="75"/>
      <c r="F62" s="75"/>
      <c r="G62" s="76">
        <f>SUM(D62,E62,F62)</f>
        <v>4.1</v>
      </c>
      <c r="H62" s="77">
        <f>AVERAGE(D62,E62,F62)</f>
        <v>4.1</v>
      </c>
      <c r="I62" s="72"/>
      <c r="J62" s="78">
        <v>2.0</v>
      </c>
      <c r="K62" s="79"/>
      <c r="L62" s="80">
        <f>H62*J62</f>
        <v>8.2</v>
      </c>
      <c r="M62" s="63"/>
      <c r="N62" s="63"/>
      <c r="O62" s="63"/>
      <c r="P62" s="63"/>
      <c r="Q62" s="63"/>
      <c r="R62" s="63"/>
      <c r="S62" s="63"/>
      <c r="T62" s="63"/>
    </row>
    <row r="63">
      <c r="A63" s="68">
        <f>A61+1</f>
        <v>30</v>
      </c>
      <c r="B63" s="69" t="s">
        <v>103</v>
      </c>
      <c r="C63" s="12"/>
      <c r="D63" s="70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</row>
    <row r="64">
      <c r="A64" s="18"/>
      <c r="B64" s="74"/>
      <c r="C64" s="20"/>
      <c r="D64" s="75">
        <v>2.59</v>
      </c>
      <c r="E64" s="75">
        <v>2.59</v>
      </c>
      <c r="F64" s="75"/>
      <c r="G64" s="76">
        <f>SUM(D64,E64,F64)</f>
        <v>5.18</v>
      </c>
      <c r="H64" s="77">
        <f>AVERAGE(D64,E64,F64)</f>
        <v>2.59</v>
      </c>
      <c r="I64" s="85"/>
      <c r="J64" s="78">
        <v>2.0</v>
      </c>
      <c r="K64" s="79"/>
      <c r="L64" s="80">
        <f>H64*J64</f>
        <v>5.18</v>
      </c>
      <c r="M64" s="63"/>
      <c r="N64" s="63"/>
      <c r="O64" s="63"/>
      <c r="P64" s="63"/>
      <c r="Q64" s="63"/>
      <c r="R64" s="63"/>
      <c r="S64" s="63"/>
      <c r="T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18.075</v>
      </c>
      <c r="I65" s="85"/>
      <c r="J65" s="88" t="s">
        <v>6</v>
      </c>
      <c r="K65" s="20"/>
      <c r="L65" s="89">
        <f>SUM(L57:L64)</f>
        <v>101.71</v>
      </c>
      <c r="M65" s="63"/>
      <c r="N65" s="63"/>
      <c r="O65" s="63"/>
      <c r="P65" s="63"/>
      <c r="Q65" s="63"/>
      <c r="R65" s="63"/>
      <c r="S65" s="63"/>
      <c r="T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</row>
    <row r="68">
      <c r="A68" s="18"/>
      <c r="B68" s="74"/>
      <c r="C68" s="20"/>
      <c r="D68" s="75">
        <v>3.99</v>
      </c>
      <c r="E68" s="75">
        <v>5.39</v>
      </c>
      <c r="F68" s="75"/>
      <c r="G68" s="76">
        <f>SUM(D68,E68,F68)</f>
        <v>9.38</v>
      </c>
      <c r="H68" s="77">
        <f>AVERAGE(D68,E68,F68)</f>
        <v>4.69</v>
      </c>
      <c r="I68" s="72"/>
      <c r="J68" s="78">
        <v>3.0</v>
      </c>
      <c r="K68" s="79"/>
      <c r="L68" s="80">
        <f>H68*J68</f>
        <v>14.07</v>
      </c>
      <c r="M68" s="63"/>
      <c r="N68" s="63"/>
      <c r="O68" s="63"/>
      <c r="P68" s="63"/>
      <c r="Q68" s="63"/>
      <c r="R68" s="63"/>
      <c r="S68" s="63"/>
      <c r="T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</row>
    <row r="70">
      <c r="A70" s="18"/>
      <c r="B70" s="74"/>
      <c r="C70" s="20"/>
      <c r="D70" s="75"/>
      <c r="E70" s="75">
        <v>6.68</v>
      </c>
      <c r="F70" s="84"/>
      <c r="G70" s="76">
        <f>SUM(D70,E70,F70)</f>
        <v>6.68</v>
      </c>
      <c r="H70" s="77">
        <f>AVERAGE(D70,E70,F70)</f>
        <v>6.68</v>
      </c>
      <c r="I70" s="72"/>
      <c r="J70" s="78">
        <v>2.0</v>
      </c>
      <c r="K70" s="79"/>
      <c r="L70" s="80">
        <f>H70*J70</f>
        <v>13.36</v>
      </c>
      <c r="M70" s="63"/>
      <c r="N70" s="63"/>
      <c r="O70" s="63"/>
      <c r="P70" s="63"/>
      <c r="Q70" s="63"/>
      <c r="R70" s="63"/>
      <c r="S70" s="63"/>
      <c r="T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</row>
    <row r="72">
      <c r="A72" s="18"/>
      <c r="B72" s="74"/>
      <c r="C72" s="20"/>
      <c r="D72" s="75">
        <v>3.7</v>
      </c>
      <c r="E72" s="75"/>
      <c r="F72" s="84"/>
      <c r="G72" s="76">
        <f>SUM(D72,E72,F72)</f>
        <v>3.7</v>
      </c>
      <c r="H72" s="77">
        <f>AVERAGE(D72,E72,F72)</f>
        <v>3.7</v>
      </c>
      <c r="I72" s="72"/>
      <c r="J72" s="78">
        <v>10.0</v>
      </c>
      <c r="K72" s="79"/>
      <c r="L72" s="80">
        <f>H72*J72</f>
        <v>37</v>
      </c>
      <c r="M72" s="63"/>
      <c r="N72" s="63"/>
      <c r="O72" s="63"/>
      <c r="P72" s="63"/>
      <c r="Q72" s="63"/>
      <c r="R72" s="63"/>
      <c r="S72" s="63"/>
      <c r="T72" s="63"/>
    </row>
    <row r="73">
      <c r="A73" s="68">
        <f>A71+1</f>
        <v>34</v>
      </c>
      <c r="B73" s="69" t="s">
        <v>119</v>
      </c>
      <c r="C73" s="12"/>
      <c r="D73" s="83" t="s">
        <v>151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</row>
    <row r="74">
      <c r="A74" s="18"/>
      <c r="B74" s="74"/>
      <c r="C74" s="20"/>
      <c r="D74" s="75">
        <v>18.89</v>
      </c>
      <c r="E74" s="75"/>
      <c r="F74" s="84"/>
      <c r="G74" s="76">
        <f>SUM(D74,E74,F74)</f>
        <v>18.89</v>
      </c>
      <c r="H74" s="77">
        <f>AVERAGE(D74,E74,F74)</f>
        <v>18.89</v>
      </c>
      <c r="I74" s="72"/>
      <c r="J74" s="78">
        <v>2.0</v>
      </c>
      <c r="K74" s="79"/>
      <c r="L74" s="80">
        <f>H74*J74</f>
        <v>37.78</v>
      </c>
      <c r="M74" s="63"/>
      <c r="N74" s="63"/>
      <c r="O74" s="63"/>
      <c r="P74" s="63"/>
      <c r="Q74" s="63"/>
      <c r="R74" s="63"/>
      <c r="S74" s="63"/>
      <c r="T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</row>
    <row r="76">
      <c r="A76" s="18"/>
      <c r="B76" s="74"/>
      <c r="C76" s="20"/>
      <c r="D76" s="75">
        <v>4.0</v>
      </c>
      <c r="E76" s="75">
        <v>3.89</v>
      </c>
      <c r="F76" s="84"/>
      <c r="G76" s="76">
        <f>SUM(D76,E76,F76)</f>
        <v>7.89</v>
      </c>
      <c r="H76" s="77">
        <f>AVERAGE(D76,E76,F76)</f>
        <v>3.945</v>
      </c>
      <c r="I76" s="85"/>
      <c r="J76" s="78">
        <v>1.0</v>
      </c>
      <c r="K76" s="79"/>
      <c r="L76" s="80">
        <f>H76*J76</f>
        <v>3.945</v>
      </c>
      <c r="M76" s="63"/>
      <c r="N76" s="63"/>
      <c r="O76" s="63"/>
      <c r="P76" s="63"/>
      <c r="Q76" s="63"/>
      <c r="R76" s="63"/>
      <c r="S76" s="63"/>
      <c r="T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37.905</v>
      </c>
      <c r="I77" s="85"/>
      <c r="J77" s="88" t="s">
        <v>6</v>
      </c>
      <c r="K77" s="20"/>
      <c r="L77" s="89">
        <f>SUM(L68:L76)</f>
        <v>106.155</v>
      </c>
      <c r="M77" s="63"/>
      <c r="N77" s="63"/>
      <c r="O77" s="63"/>
      <c r="P77" s="63"/>
      <c r="Q77" s="63"/>
      <c r="R77" s="63"/>
      <c r="S77" s="63"/>
      <c r="T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416.6066667</v>
      </c>
      <c r="I80" s="63"/>
      <c r="J80" s="72"/>
      <c r="K80" s="97" t="s">
        <v>6</v>
      </c>
      <c r="L80" s="89">
        <f>L55+L65+L77</f>
        <v>1222.002667</v>
      </c>
      <c r="M80" s="63"/>
      <c r="N80" s="63"/>
      <c r="O80" s="63"/>
      <c r="P80" s="63"/>
      <c r="Q80" s="63"/>
      <c r="R80" s="63"/>
      <c r="S80" s="63"/>
      <c r="T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  <c r="R82" s="63"/>
      <c r="S82" s="63"/>
      <c r="T82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>
      <c r="A2" s="64" t="s">
        <v>153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>
      <c r="A4" s="18"/>
      <c r="B4" s="74"/>
      <c r="C4" s="20"/>
      <c r="D4" s="75">
        <v>28.9</v>
      </c>
      <c r="E4" s="75">
        <v>25.99</v>
      </c>
      <c r="F4" s="75">
        <v>25.0</v>
      </c>
      <c r="G4" s="76">
        <f>SUM(D4,E4,F4)</f>
        <v>79.89</v>
      </c>
      <c r="H4" s="77">
        <f>AVERAGE(D4,E4,F4)</f>
        <v>26.63</v>
      </c>
      <c r="I4" s="72"/>
      <c r="J4" s="78">
        <v>3.0</v>
      </c>
      <c r="K4" s="79" t="s">
        <v>11</v>
      </c>
      <c r="L4" s="80">
        <f>H4*J4</f>
        <v>79.89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>
      <c r="A6" s="18"/>
      <c r="B6" s="74"/>
      <c r="C6" s="20"/>
      <c r="D6" s="75"/>
      <c r="E6" s="75">
        <v>5.99</v>
      </c>
      <c r="F6" s="75">
        <v>5.1</v>
      </c>
      <c r="G6" s="76">
        <f>SUM(D6,E6,F6)</f>
        <v>11.09</v>
      </c>
      <c r="H6" s="77">
        <f>AVERAGE(D6,E6,F6)</f>
        <v>5.545</v>
      </c>
      <c r="I6" s="72"/>
      <c r="J6" s="78">
        <v>4.0</v>
      </c>
      <c r="K6" s="79"/>
      <c r="L6" s="80">
        <f>H6*J6</f>
        <v>22.18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>
      <c r="A8" s="18"/>
      <c r="B8" s="74"/>
      <c r="C8" s="20"/>
      <c r="D8" s="75">
        <v>17.0</v>
      </c>
      <c r="E8" s="75"/>
      <c r="F8" s="75"/>
      <c r="G8" s="76">
        <f>SUM(D8,E8,F8)</f>
        <v>17</v>
      </c>
      <c r="H8" s="77">
        <f>AVERAGE(D8,E8,F8)</f>
        <v>17</v>
      </c>
      <c r="I8" s="72"/>
      <c r="J8" s="78">
        <v>2.0</v>
      </c>
      <c r="K8" s="79"/>
      <c r="L8" s="80">
        <f>H8*J8</f>
        <v>34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130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>
      <c r="A10" s="18"/>
      <c r="B10" s="74"/>
      <c r="C10" s="20"/>
      <c r="D10" s="75">
        <v>29.99</v>
      </c>
      <c r="E10" s="75">
        <v>29.99</v>
      </c>
      <c r="F10" s="75"/>
      <c r="G10" s="76">
        <f>SUM(D10,E10,F10)</f>
        <v>59.98</v>
      </c>
      <c r="H10" s="77">
        <f>AVERAGE(D10,E10,F10)</f>
        <v>29.99</v>
      </c>
      <c r="I10" s="72"/>
      <c r="J10" s="78">
        <v>3.0</v>
      </c>
      <c r="K10" s="79"/>
      <c r="L10" s="80">
        <f>H10*J10</f>
        <v>89.97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>
      <c r="A12" s="18"/>
      <c r="B12" s="74"/>
      <c r="C12" s="20"/>
      <c r="D12" s="75">
        <v>5.55</v>
      </c>
      <c r="E12" s="75">
        <v>5.1</v>
      </c>
      <c r="F12" s="75"/>
      <c r="G12" s="76">
        <f>SUM(D12,E12,F12)</f>
        <v>10.65</v>
      </c>
      <c r="H12" s="77">
        <f>AVERAGE(D12,E12,F12)</f>
        <v>5.325</v>
      </c>
      <c r="I12" s="72"/>
      <c r="J12" s="78">
        <v>3.0</v>
      </c>
      <c r="K12" s="79"/>
      <c r="L12" s="80">
        <f>H12*J12</f>
        <v>15.975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>
      <c r="A13" s="68">
        <f>A11+1</f>
        <v>6</v>
      </c>
      <c r="B13" s="69" t="s">
        <v>27</v>
      </c>
      <c r="C13" s="12"/>
      <c r="D13" s="70" t="s">
        <v>154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>
      <c r="A14" s="18"/>
      <c r="B14" s="74"/>
      <c r="C14" s="20"/>
      <c r="D14" s="75"/>
      <c r="E14" s="75">
        <v>5.1</v>
      </c>
      <c r="F14" s="75">
        <v>9.7</v>
      </c>
      <c r="G14" s="76">
        <f>SUM(D14,E14,F14)</f>
        <v>14.8</v>
      </c>
      <c r="H14" s="77">
        <f>AVERAGE(D14,E14,F14)</f>
        <v>7.4</v>
      </c>
      <c r="I14" s="72"/>
      <c r="J14" s="78">
        <v>1.0</v>
      </c>
      <c r="K14" s="79"/>
      <c r="L14" s="80">
        <f>H14*J14</f>
        <v>7.4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>
      <c r="A16" s="18"/>
      <c r="B16" s="74"/>
      <c r="C16" s="20"/>
      <c r="D16" s="75">
        <v>6.99</v>
      </c>
      <c r="E16" s="84"/>
      <c r="F16" s="84"/>
      <c r="G16" s="76">
        <f>SUM(D16,E16,F16)</f>
        <v>6.99</v>
      </c>
      <c r="H16" s="77">
        <f>AVERAGE(D16,E16,F16)</f>
        <v>6.99</v>
      </c>
      <c r="I16" s="72"/>
      <c r="J16" s="78">
        <v>4.0</v>
      </c>
      <c r="K16" s="79"/>
      <c r="L16" s="80">
        <f>H16*J16</f>
        <v>27.96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>
      <c r="A18" s="18"/>
      <c r="B18" s="74"/>
      <c r="C18" s="20"/>
      <c r="D18" s="75">
        <v>3.99</v>
      </c>
      <c r="E18" s="84"/>
      <c r="F18" s="84"/>
      <c r="G18" s="76">
        <f>SUM(D18,E18,F18)</f>
        <v>3.99</v>
      </c>
      <c r="H18" s="77">
        <f>AVERAGE(D18,E18,F18)</f>
        <v>3.99</v>
      </c>
      <c r="I18" s="72"/>
      <c r="J18" s="78">
        <v>1.0</v>
      </c>
      <c r="K18" s="79"/>
      <c r="L18" s="80">
        <f>H18*J18</f>
        <v>3.99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>
      <c r="A20" s="18"/>
      <c r="B20" s="74"/>
      <c r="C20" s="20"/>
      <c r="D20" s="75">
        <v>6.1</v>
      </c>
      <c r="E20" s="84"/>
      <c r="F20" s="84"/>
      <c r="G20" s="76">
        <f>SUM(D20,E20,F20)</f>
        <v>6.1</v>
      </c>
      <c r="H20" s="77">
        <f>AVERAGE(D20,E20,F20)</f>
        <v>6.1</v>
      </c>
      <c r="I20" s="72"/>
      <c r="J20" s="78">
        <v>9.0</v>
      </c>
      <c r="K20" s="79"/>
      <c r="L20" s="80">
        <f>H20*J20</f>
        <v>54.9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>
      <c r="A22" s="18"/>
      <c r="B22" s="74"/>
      <c r="C22" s="20"/>
      <c r="D22" s="75">
        <v>32.0</v>
      </c>
      <c r="E22" s="84"/>
      <c r="F22" s="84"/>
      <c r="G22" s="76">
        <f>SUM(D22,E22,F22)</f>
        <v>32</v>
      </c>
      <c r="H22" s="77">
        <f>AVERAGE(D22,E22,F22)</f>
        <v>32</v>
      </c>
      <c r="I22" s="72"/>
      <c r="J22" s="78">
        <v>0.2</v>
      </c>
      <c r="K22" s="79"/>
      <c r="L22" s="80">
        <f>H22*J22</f>
        <v>6.4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18"/>
      <c r="B24" s="74"/>
      <c r="C24" s="20"/>
      <c r="D24" s="75">
        <v>10.99</v>
      </c>
      <c r="E24" s="75"/>
      <c r="F24" s="84"/>
      <c r="G24" s="76">
        <f>SUM(D24,E24,F24)</f>
        <v>10.99</v>
      </c>
      <c r="H24" s="77">
        <f>AVERAGE(D24,E24,F24)</f>
        <v>10.99</v>
      </c>
      <c r="I24" s="72"/>
      <c r="J24" s="78">
        <v>3.0</v>
      </c>
      <c r="K24" s="79"/>
      <c r="L24" s="80">
        <f>H24*J24</f>
        <v>32.97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18"/>
      <c r="B26" s="74"/>
      <c r="C26" s="20"/>
      <c r="D26" s="75">
        <v>4.99</v>
      </c>
      <c r="E26" s="75">
        <v>5.25</v>
      </c>
      <c r="F26" s="75"/>
      <c r="G26" s="76">
        <f>SUM(D26,E26,F26)</f>
        <v>10.24</v>
      </c>
      <c r="H26" s="77">
        <f>AVERAGE(D26,E26,F26)</f>
        <v>5.12</v>
      </c>
      <c r="I26" s="72"/>
      <c r="J26" s="78">
        <v>4.0</v>
      </c>
      <c r="K26" s="79"/>
      <c r="L26" s="80">
        <f>H26*J26</f>
        <v>20.48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18"/>
      <c r="B28" s="74"/>
      <c r="C28" s="20"/>
      <c r="D28" s="75"/>
      <c r="E28" s="75">
        <v>2.85</v>
      </c>
      <c r="F28" s="75">
        <v>2.0</v>
      </c>
      <c r="G28" s="76">
        <f>SUM(D28,E28,F28)</f>
        <v>4.85</v>
      </c>
      <c r="H28" s="77">
        <f>AVERAGE(D28,E28,F28)</f>
        <v>2.425</v>
      </c>
      <c r="I28" s="72"/>
      <c r="J28" s="78">
        <v>2.0</v>
      </c>
      <c r="K28" s="79"/>
      <c r="L28" s="80">
        <f>H28*J28</f>
        <v>4.85</v>
      </c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18"/>
      <c r="B30" s="74"/>
      <c r="C30" s="20"/>
      <c r="D30" s="75">
        <v>14.0</v>
      </c>
      <c r="E30" s="84"/>
      <c r="F30" s="84"/>
      <c r="G30" s="76">
        <f>SUM(D30,E30,F30)</f>
        <v>14</v>
      </c>
      <c r="H30" s="77">
        <f>AVERAGE(D30,E30,F30)</f>
        <v>14</v>
      </c>
      <c r="I30" s="72"/>
      <c r="J30" s="78">
        <v>6.0</v>
      </c>
      <c r="K30" s="79"/>
      <c r="L30" s="80">
        <f>H30*J30</f>
        <v>84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18"/>
      <c r="B32" s="74"/>
      <c r="C32" s="20"/>
      <c r="D32" s="75">
        <v>5.0</v>
      </c>
      <c r="E32" s="75"/>
      <c r="F32" s="84"/>
      <c r="G32" s="76">
        <f>SUM(D32,E32,F32)</f>
        <v>5</v>
      </c>
      <c r="H32" s="77">
        <f>AVERAGE(D32,E32,F32)</f>
        <v>5</v>
      </c>
      <c r="I32" s="72"/>
      <c r="J32" s="78">
        <v>7.5</v>
      </c>
      <c r="K32" s="79"/>
      <c r="L32" s="80">
        <f>H32*J32</f>
        <v>37.5</v>
      </c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18"/>
      <c r="B34" s="74"/>
      <c r="C34" s="20"/>
      <c r="D34" s="75">
        <v>7.0</v>
      </c>
      <c r="E34" s="75"/>
      <c r="F34" s="75"/>
      <c r="G34" s="76">
        <f>SUM(D34,E34,F34)</f>
        <v>7</v>
      </c>
      <c r="H34" s="77">
        <f>AVERAGE(D34,E34,F34)</f>
        <v>7</v>
      </c>
      <c r="I34" s="72"/>
      <c r="J34" s="78">
        <v>5.0</v>
      </c>
      <c r="K34" s="79"/>
      <c r="L34" s="80">
        <f>H34*J34</f>
        <v>35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83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18"/>
      <c r="B36" s="74"/>
      <c r="C36" s="20"/>
      <c r="D36" s="75">
        <v>5.25</v>
      </c>
      <c r="E36" s="75">
        <v>5.15</v>
      </c>
      <c r="F36" s="75">
        <v>5.15</v>
      </c>
      <c r="G36" s="76">
        <f>SUM(D36,E36,F36)</f>
        <v>15.55</v>
      </c>
      <c r="H36" s="77">
        <f>AVERAGE(D36,E36,F36)</f>
        <v>5.183333333</v>
      </c>
      <c r="I36" s="72"/>
      <c r="J36" s="78">
        <v>7.5</v>
      </c>
      <c r="K36" s="79"/>
      <c r="L36" s="80">
        <f>H36*J36</f>
        <v>38.875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18"/>
      <c r="B38" s="74"/>
      <c r="C38" s="20"/>
      <c r="D38" s="75">
        <v>17.99</v>
      </c>
      <c r="E38" s="75"/>
      <c r="F38" s="75"/>
      <c r="G38" s="76">
        <f>SUM(D38,E38,F38)</f>
        <v>17.99</v>
      </c>
      <c r="H38" s="77">
        <f>AVERAGE(D38,E38,F38)</f>
        <v>17.99</v>
      </c>
      <c r="I38" s="72"/>
      <c r="J38" s="78">
        <v>3.0</v>
      </c>
      <c r="K38" s="79"/>
      <c r="L38" s="80">
        <f>H38*J38</f>
        <v>53.97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18"/>
      <c r="B40" s="74"/>
      <c r="C40" s="20"/>
      <c r="D40" s="75">
        <v>4.55</v>
      </c>
      <c r="E40" s="75">
        <v>5.55</v>
      </c>
      <c r="F40" s="75">
        <v>4.99</v>
      </c>
      <c r="G40" s="76">
        <f>SUM(D40,E40,F40)</f>
        <v>15.09</v>
      </c>
      <c r="H40" s="77">
        <f>AVERAGE(D40,E40,F40)</f>
        <v>5.03</v>
      </c>
      <c r="I40" s="72"/>
      <c r="J40" s="78">
        <v>4.0</v>
      </c>
      <c r="K40" s="79"/>
      <c r="L40" s="80">
        <f>H40*J40</f>
        <v>20.12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8">
        <f>A39+1</f>
        <v>20</v>
      </c>
      <c r="B41" s="69" t="s">
        <v>68</v>
      </c>
      <c r="C41" s="12"/>
      <c r="D41" s="70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18"/>
      <c r="B42" s="74"/>
      <c r="C42" s="20"/>
      <c r="D42" s="75"/>
      <c r="E42" s="75"/>
      <c r="F42" s="75">
        <v>2.99</v>
      </c>
      <c r="G42" s="76">
        <f>SUM(D42,E42,F42)</f>
        <v>2.99</v>
      </c>
      <c r="H42" s="77">
        <f>AVERAGE(D42,E42,F42)</f>
        <v>2.99</v>
      </c>
      <c r="I42" s="72"/>
      <c r="J42" s="78">
        <v>4.0</v>
      </c>
      <c r="K42" s="79"/>
      <c r="L42" s="80">
        <f>H42*J42</f>
        <v>11.96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18"/>
      <c r="B44" s="74"/>
      <c r="C44" s="20"/>
      <c r="D44" s="75">
        <v>42.9</v>
      </c>
      <c r="E44" s="75">
        <v>41.0</v>
      </c>
      <c r="F44" s="75"/>
      <c r="G44" s="76">
        <f>SUM(D44,E44,F44)</f>
        <v>83.9</v>
      </c>
      <c r="H44" s="77">
        <f>AVERAGE(D44,E44,F44)</f>
        <v>41.95</v>
      </c>
      <c r="I44" s="72"/>
      <c r="J44" s="78">
        <v>3.0</v>
      </c>
      <c r="K44" s="79"/>
      <c r="L44" s="80">
        <f>H44*J44</f>
        <v>125.85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18"/>
      <c r="B46" s="74"/>
      <c r="C46" s="20"/>
      <c r="D46" s="75">
        <v>38.9</v>
      </c>
      <c r="E46" s="75">
        <v>36.0</v>
      </c>
      <c r="F46" s="75"/>
      <c r="G46" s="76">
        <f>SUM(D46,E46,F46)</f>
        <v>74.9</v>
      </c>
      <c r="H46" s="77">
        <f>AVERAGE(D46,E46,F46)</f>
        <v>37.45</v>
      </c>
      <c r="I46" s="72"/>
      <c r="J46" s="78">
        <v>4.0</v>
      </c>
      <c r="K46" s="79"/>
      <c r="L46" s="80">
        <f>H46*J46</f>
        <v>149.8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>
      <c r="A48" s="18"/>
      <c r="B48" s="74"/>
      <c r="C48" s="20"/>
      <c r="D48" s="75">
        <v>10.0</v>
      </c>
      <c r="E48" s="75"/>
      <c r="F48" s="84"/>
      <c r="G48" s="76">
        <f>SUM(D48,E48,F48)</f>
        <v>10</v>
      </c>
      <c r="H48" s="77">
        <f>AVERAGE(D48,E48,F48)</f>
        <v>10</v>
      </c>
      <c r="I48" s="72"/>
      <c r="J48" s="78">
        <v>5.0</v>
      </c>
      <c r="K48" s="79"/>
      <c r="L48" s="80">
        <f>H48*J48</f>
        <v>50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>
      <c r="A50" s="18"/>
      <c r="B50" s="74"/>
      <c r="C50" s="20"/>
      <c r="D50" s="75">
        <v>11.3</v>
      </c>
      <c r="E50" s="75"/>
      <c r="F50" s="75"/>
      <c r="G50" s="76">
        <f>SUM(D50,E50,F50)</f>
        <v>11.3</v>
      </c>
      <c r="H50" s="77">
        <f>AVERAGE(D50,E50,F50)</f>
        <v>11.3</v>
      </c>
      <c r="I50" s="72"/>
      <c r="J50" s="78">
        <v>0.5</v>
      </c>
      <c r="K50" s="79"/>
      <c r="L50" s="80">
        <f>H50*J50</f>
        <v>5.65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>
      <c r="A51" s="68">
        <f>A49+1</f>
        <v>25</v>
      </c>
      <c r="B51" s="69" t="s">
        <v>86</v>
      </c>
      <c r="C51" s="12"/>
      <c r="D51" s="83" t="s">
        <v>84</v>
      </c>
      <c r="E51" s="70" t="s">
        <v>82</v>
      </c>
      <c r="F51" s="70" t="s">
        <v>141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>
      <c r="A52" s="18"/>
      <c r="B52" s="74"/>
      <c r="C52" s="20"/>
      <c r="D52" s="75">
        <v>15.8</v>
      </c>
      <c r="E52" s="75"/>
      <c r="F52" s="75"/>
      <c r="G52" s="76">
        <f>SUM(D52,E52,F52)</f>
        <v>15.8</v>
      </c>
      <c r="H52" s="77">
        <f>AVERAGE(D52,E52,F52)</f>
        <v>15.8</v>
      </c>
      <c r="I52" s="72"/>
      <c r="J52" s="78">
        <v>0.3</v>
      </c>
      <c r="K52" s="79"/>
      <c r="L52" s="80">
        <f>H52*J52</f>
        <v>4.74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>
      <c r="A53" s="68">
        <f>A51+1</f>
        <v>26</v>
      </c>
      <c r="B53" s="69" t="s">
        <v>88</v>
      </c>
      <c r="C53" s="12"/>
      <c r="D53" s="70" t="s">
        <v>155</v>
      </c>
      <c r="E53" s="70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>
      <c r="A54" s="18"/>
      <c r="B54" s="74"/>
      <c r="C54" s="20"/>
      <c r="D54" s="75">
        <v>38.99</v>
      </c>
      <c r="E54" s="75">
        <v>37.0</v>
      </c>
      <c r="F54" s="75"/>
      <c r="G54" s="76">
        <f>SUM(D54,E54,F54)</f>
        <v>75.99</v>
      </c>
      <c r="H54" s="77">
        <f>AVERAGE(D54,E54,F54)</f>
        <v>37.995</v>
      </c>
      <c r="I54" s="85"/>
      <c r="J54" s="78">
        <v>0.5</v>
      </c>
      <c r="K54" s="85"/>
      <c r="L54" s="80">
        <f>H54*J54</f>
        <v>18.9975</v>
      </c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371.1933333</v>
      </c>
      <c r="I55" s="85"/>
      <c r="J55" s="88" t="s">
        <v>6</v>
      </c>
      <c r="K55" s="20"/>
      <c r="L55" s="89">
        <f>SUM(L4:L54)</f>
        <v>1037.4275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>
      <c r="A58" s="18"/>
      <c r="B58" s="74"/>
      <c r="C58" s="20"/>
      <c r="D58" s="75">
        <v>7.8</v>
      </c>
      <c r="E58" s="75"/>
      <c r="F58" s="75"/>
      <c r="G58" s="76">
        <f>SUM(D58,E58,F58)</f>
        <v>7.8</v>
      </c>
      <c r="H58" s="77">
        <f>AVERAGE(D58,E58,F58)</f>
        <v>7.8</v>
      </c>
      <c r="I58" s="72"/>
      <c r="J58" s="78">
        <v>4.0</v>
      </c>
      <c r="K58" s="79"/>
      <c r="L58" s="80">
        <f>H58*J58</f>
        <v>31.2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>
      <c r="A60" s="18"/>
      <c r="B60" s="74"/>
      <c r="C60" s="20"/>
      <c r="D60" s="75">
        <v>3.0</v>
      </c>
      <c r="E60" s="75"/>
      <c r="F60" s="84"/>
      <c r="G60" s="76">
        <f>SUM(D60,E60,F60)</f>
        <v>3</v>
      </c>
      <c r="H60" s="77">
        <f>AVERAGE(D60,E60,F60)</f>
        <v>3</v>
      </c>
      <c r="I60" s="72"/>
      <c r="J60" s="78">
        <v>15.0</v>
      </c>
      <c r="K60" s="79"/>
      <c r="L60" s="80">
        <f>H60*J60</f>
        <v>45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</row>
    <row r="61">
      <c r="A61" s="68">
        <f>A59+1</f>
        <v>29</v>
      </c>
      <c r="B61" s="69" t="s">
        <v>100</v>
      </c>
      <c r="C61" s="12"/>
      <c r="D61" s="70" t="s">
        <v>99</v>
      </c>
      <c r="E61" s="70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>
      <c r="A62" s="18"/>
      <c r="B62" s="74"/>
      <c r="C62" s="20"/>
      <c r="D62" s="75">
        <v>2.99</v>
      </c>
      <c r="E62" s="75">
        <v>2.99</v>
      </c>
      <c r="F62" s="75"/>
      <c r="G62" s="76">
        <f>SUM(D62,E62,F62)</f>
        <v>5.98</v>
      </c>
      <c r="H62" s="77">
        <f>AVERAGE(D62,E62,F62)</f>
        <v>2.99</v>
      </c>
      <c r="I62" s="72"/>
      <c r="J62" s="78">
        <v>2.0</v>
      </c>
      <c r="K62" s="79"/>
      <c r="L62" s="80">
        <f>H62*J62</f>
        <v>5.98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</row>
    <row r="63">
      <c r="A63" s="68">
        <f>A61+1</f>
        <v>30</v>
      </c>
      <c r="B63" s="69" t="s">
        <v>103</v>
      </c>
      <c r="C63" s="12"/>
      <c r="D63" s="70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>
      <c r="A64" s="18"/>
      <c r="B64" s="74"/>
      <c r="C64" s="20"/>
      <c r="D64" s="75">
        <v>2.59</v>
      </c>
      <c r="E64" s="75">
        <v>2.59</v>
      </c>
      <c r="F64" s="75"/>
      <c r="G64" s="76">
        <f>SUM(D64,E64,F64)</f>
        <v>5.18</v>
      </c>
      <c r="H64" s="77">
        <f>AVERAGE(D64,E64,F64)</f>
        <v>2.59</v>
      </c>
      <c r="I64" s="85"/>
      <c r="J64" s="78">
        <v>2.0</v>
      </c>
      <c r="K64" s="79"/>
      <c r="L64" s="80">
        <f>H64*J64</f>
        <v>5.18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16.38</v>
      </c>
      <c r="I65" s="85"/>
      <c r="J65" s="88" t="s">
        <v>6</v>
      </c>
      <c r="K65" s="20"/>
      <c r="L65" s="89">
        <f>SUM(L57:L64)</f>
        <v>87.36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>
      <c r="A68" s="18"/>
      <c r="B68" s="74"/>
      <c r="C68" s="20"/>
      <c r="D68" s="75">
        <v>5.2</v>
      </c>
      <c r="E68" s="75"/>
      <c r="F68" s="75"/>
      <c r="G68" s="76">
        <f>SUM(D68,E68,F68)</f>
        <v>5.2</v>
      </c>
      <c r="H68" s="77">
        <f>AVERAGE(D68,E68,F68)</f>
        <v>5.2</v>
      </c>
      <c r="I68" s="72"/>
      <c r="J68" s="78">
        <v>3.0</v>
      </c>
      <c r="K68" s="79"/>
      <c r="L68" s="80">
        <f>H68*J68</f>
        <v>15.6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>
      <c r="A70" s="18"/>
      <c r="B70" s="74"/>
      <c r="C70" s="20"/>
      <c r="D70" s="75">
        <v>4.4</v>
      </c>
      <c r="E70" s="75">
        <v>4.4</v>
      </c>
      <c r="F70" s="84"/>
      <c r="G70" s="76">
        <f>SUM(D70,E70,F70)</f>
        <v>8.8</v>
      </c>
      <c r="H70" s="77">
        <f>AVERAGE(D70,E70,F70)</f>
        <v>4.4</v>
      </c>
      <c r="I70" s="72"/>
      <c r="J70" s="78">
        <v>2.0</v>
      </c>
      <c r="K70" s="79"/>
      <c r="L70" s="80">
        <f>H70*J70</f>
        <v>8.8</v>
      </c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>
      <c r="A72" s="18"/>
      <c r="B72" s="74"/>
      <c r="C72" s="20"/>
      <c r="D72" s="75">
        <v>3.0</v>
      </c>
      <c r="E72" s="75"/>
      <c r="F72" s="84"/>
      <c r="G72" s="76">
        <f>SUM(D72,E72,F72)</f>
        <v>3</v>
      </c>
      <c r="H72" s="77">
        <f>AVERAGE(D72,E72,F72)</f>
        <v>3</v>
      </c>
      <c r="I72" s="72"/>
      <c r="J72" s="78">
        <v>10.0</v>
      </c>
      <c r="K72" s="79"/>
      <c r="L72" s="80">
        <f>H72*J72</f>
        <v>30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</row>
    <row r="73">
      <c r="A73" s="68">
        <f>A71+1</f>
        <v>34</v>
      </c>
      <c r="B73" s="69" t="s">
        <v>119</v>
      </c>
      <c r="C73" s="12"/>
      <c r="D73" s="83" t="s">
        <v>151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>
      <c r="A74" s="18"/>
      <c r="B74" s="74"/>
      <c r="C74" s="20"/>
      <c r="D74" s="75">
        <v>17.0</v>
      </c>
      <c r="E74" s="75">
        <v>13.38</v>
      </c>
      <c r="F74" s="84"/>
      <c r="G74" s="76">
        <f>SUM(D74,E74,F74)</f>
        <v>30.38</v>
      </c>
      <c r="H74" s="77">
        <f>AVERAGE(D74,E74,F74)</f>
        <v>15.19</v>
      </c>
      <c r="I74" s="72"/>
      <c r="J74" s="78">
        <v>2.0</v>
      </c>
      <c r="K74" s="79"/>
      <c r="L74" s="80">
        <f>H74*J74</f>
        <v>30.38</v>
      </c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</row>
    <row r="76">
      <c r="A76" s="18"/>
      <c r="B76" s="74"/>
      <c r="C76" s="20"/>
      <c r="D76" s="75">
        <v>3.85</v>
      </c>
      <c r="E76" s="75"/>
      <c r="F76" s="84"/>
      <c r="G76" s="76">
        <f>SUM(D76,E76,F76)</f>
        <v>3.85</v>
      </c>
      <c r="H76" s="77">
        <f>AVERAGE(D76,E76,F76)</f>
        <v>3.85</v>
      </c>
      <c r="I76" s="85"/>
      <c r="J76" s="78">
        <v>1.0</v>
      </c>
      <c r="K76" s="79"/>
      <c r="L76" s="80">
        <f>H76*J76</f>
        <v>3.85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31.64</v>
      </c>
      <c r="I77" s="85"/>
      <c r="J77" s="88" t="s">
        <v>6</v>
      </c>
      <c r="K77" s="20"/>
      <c r="L77" s="89">
        <f>SUM(L68:L76)</f>
        <v>88.63</v>
      </c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419.2133333</v>
      </c>
      <c r="I80" s="63"/>
      <c r="J80" s="72"/>
      <c r="K80" s="97" t="s">
        <v>6</v>
      </c>
      <c r="L80" s="89">
        <f>L55+L65+L77</f>
        <v>1213.4175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</row>
    <row r="2">
      <c r="A2" s="102" t="s">
        <v>156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</row>
    <row r="4">
      <c r="A4" s="18"/>
      <c r="B4" s="74"/>
      <c r="C4" s="20"/>
      <c r="D4" s="75">
        <v>24.9</v>
      </c>
      <c r="E4" s="75">
        <v>28.0</v>
      </c>
      <c r="F4" s="75"/>
      <c r="G4" s="76">
        <f>SUM(D4,E4,F4)</f>
        <v>52.9</v>
      </c>
      <c r="H4" s="77">
        <f>AVERAGE(D4,E4,F4)</f>
        <v>26.45</v>
      </c>
      <c r="I4" s="72"/>
      <c r="J4" s="78">
        <v>3.0</v>
      </c>
      <c r="K4" s="79" t="s">
        <v>11</v>
      </c>
      <c r="L4" s="80">
        <f>H4*J4</f>
        <v>79.35</v>
      </c>
      <c r="M4" s="63"/>
      <c r="N4" s="63"/>
      <c r="O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  <c r="O5" s="63"/>
    </row>
    <row r="6">
      <c r="A6" s="18"/>
      <c r="B6" s="74"/>
      <c r="C6" s="20"/>
      <c r="D6" s="75">
        <v>5.38</v>
      </c>
      <c r="E6" s="75">
        <v>5.48</v>
      </c>
      <c r="F6" s="75">
        <v>5.48</v>
      </c>
      <c r="G6" s="76">
        <f>SUM(D6,E6,F6)</f>
        <v>16.34</v>
      </c>
      <c r="H6" s="77">
        <f>AVERAGE(D6,E6,F6)</f>
        <v>5.446666667</v>
      </c>
      <c r="I6" s="72"/>
      <c r="J6" s="78">
        <v>4.0</v>
      </c>
      <c r="K6" s="79"/>
      <c r="L6" s="80">
        <f>H6*J6</f>
        <v>21.78666667</v>
      </c>
      <c r="M6" s="63"/>
      <c r="N6" s="63"/>
      <c r="O6" s="63"/>
    </row>
    <row r="7">
      <c r="A7" s="68">
        <f>A5+1</f>
        <v>3</v>
      </c>
      <c r="B7" s="69" t="s">
        <v>15</v>
      </c>
      <c r="C7" s="12"/>
      <c r="D7" s="83" t="s">
        <v>16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</row>
    <row r="8">
      <c r="A8" s="18"/>
      <c r="B8" s="74"/>
      <c r="C8" s="20"/>
      <c r="D8" s="75">
        <v>17.99</v>
      </c>
      <c r="E8" s="75">
        <v>16.99</v>
      </c>
      <c r="F8" s="75"/>
      <c r="G8" s="76">
        <f>SUM(D8,E8,F8)</f>
        <v>34.98</v>
      </c>
      <c r="H8" s="77">
        <f>AVERAGE(D8,E8,F8)</f>
        <v>17.49</v>
      </c>
      <c r="I8" s="72"/>
      <c r="J8" s="78">
        <v>2.0</v>
      </c>
      <c r="K8" s="79"/>
      <c r="L8" s="80">
        <f>H8*J8</f>
        <v>34.98</v>
      </c>
      <c r="M8" s="63"/>
      <c r="N8" s="63"/>
      <c r="O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83" t="s">
        <v>130</v>
      </c>
      <c r="G9" s="71"/>
      <c r="H9" s="71"/>
      <c r="I9" s="72"/>
      <c r="J9" s="81"/>
      <c r="K9" s="74"/>
      <c r="L9" s="82"/>
      <c r="M9" s="63"/>
      <c r="N9" s="63"/>
      <c r="O9" s="63"/>
    </row>
    <row r="10">
      <c r="A10" s="18"/>
      <c r="B10" s="74"/>
      <c r="C10" s="20"/>
      <c r="D10" s="75">
        <v>25.0</v>
      </c>
      <c r="E10" s="75"/>
      <c r="F10" s="75"/>
      <c r="G10" s="76">
        <f>SUM(D10,E10,F10)</f>
        <v>25</v>
      </c>
      <c r="H10" s="77">
        <f>AVERAGE(D10,E10,F10)</f>
        <v>25</v>
      </c>
      <c r="I10" s="72"/>
      <c r="J10" s="78">
        <v>3.0</v>
      </c>
      <c r="K10" s="79"/>
      <c r="L10" s="80">
        <f>H10*J10</f>
        <v>75</v>
      </c>
      <c r="M10" s="63"/>
      <c r="N10" s="63"/>
      <c r="O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</row>
    <row r="12">
      <c r="A12" s="18"/>
      <c r="B12" s="74"/>
      <c r="C12" s="20"/>
      <c r="D12" s="75"/>
      <c r="E12" s="75">
        <v>6.2</v>
      </c>
      <c r="F12" s="75">
        <v>6.3</v>
      </c>
      <c r="G12" s="76">
        <f>SUM(D12,E12,F12)</f>
        <v>12.5</v>
      </c>
      <c r="H12" s="77">
        <f>AVERAGE(D12,E12,F12)</f>
        <v>6.25</v>
      </c>
      <c r="I12" s="72"/>
      <c r="J12" s="78">
        <v>3.0</v>
      </c>
      <c r="K12" s="79"/>
      <c r="L12" s="80">
        <f>H12*J12</f>
        <v>18.75</v>
      </c>
      <c r="M12" s="63"/>
      <c r="N12" s="63"/>
      <c r="O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</row>
    <row r="14">
      <c r="A14" s="18"/>
      <c r="B14" s="74"/>
      <c r="C14" s="20"/>
      <c r="D14" s="75"/>
      <c r="E14" s="75">
        <v>10.8</v>
      </c>
      <c r="F14" s="75">
        <v>11.8</v>
      </c>
      <c r="G14" s="76">
        <f>SUM(D14,E14,F14)</f>
        <v>22.6</v>
      </c>
      <c r="H14" s="77">
        <f>AVERAGE(D14,E14,F14)</f>
        <v>11.3</v>
      </c>
      <c r="I14" s="72"/>
      <c r="J14" s="78">
        <v>1.0</v>
      </c>
      <c r="K14" s="79"/>
      <c r="L14" s="80">
        <f>H14*J14</f>
        <v>11.3</v>
      </c>
      <c r="M14" s="63"/>
      <c r="N14" s="63"/>
      <c r="O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</row>
    <row r="16">
      <c r="A16" s="18"/>
      <c r="B16" s="74"/>
      <c r="C16" s="20"/>
      <c r="D16" s="75">
        <v>4.89</v>
      </c>
      <c r="E16" s="84"/>
      <c r="F16" s="84"/>
      <c r="G16" s="76">
        <f>SUM(D16,E16,F16)</f>
        <v>4.89</v>
      </c>
      <c r="H16" s="77">
        <f>AVERAGE(D16,E16,F16)</f>
        <v>4.89</v>
      </c>
      <c r="I16" s="72"/>
      <c r="J16" s="78">
        <v>4.0</v>
      </c>
      <c r="K16" s="79"/>
      <c r="L16" s="80">
        <f>H16*J16</f>
        <v>19.56</v>
      </c>
      <c r="M16" s="63"/>
      <c r="N16" s="63"/>
      <c r="O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</row>
    <row r="18">
      <c r="A18" s="18"/>
      <c r="B18" s="74"/>
      <c r="C18" s="20"/>
      <c r="D18" s="75">
        <v>4.99</v>
      </c>
      <c r="E18" s="84"/>
      <c r="F18" s="84"/>
      <c r="G18" s="76">
        <f>SUM(D18,E18,F18)</f>
        <v>4.99</v>
      </c>
      <c r="H18" s="77">
        <f>AVERAGE(D18,E18,F18)</f>
        <v>4.99</v>
      </c>
      <c r="I18" s="72"/>
      <c r="J18" s="78">
        <v>1.0</v>
      </c>
      <c r="K18" s="79"/>
      <c r="L18" s="80">
        <f>H18*J18</f>
        <v>4.99</v>
      </c>
      <c r="M18" s="63"/>
      <c r="N18" s="63"/>
      <c r="O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</row>
    <row r="20">
      <c r="A20" s="18"/>
      <c r="B20" s="74"/>
      <c r="C20" s="20"/>
      <c r="D20" s="75">
        <v>5.99</v>
      </c>
      <c r="E20" s="84"/>
      <c r="F20" s="84"/>
      <c r="G20" s="76">
        <f>SUM(D20,E20,F20)</f>
        <v>5.99</v>
      </c>
      <c r="H20" s="77">
        <f>AVERAGE(D20,E20,F20)</f>
        <v>5.99</v>
      </c>
      <c r="I20" s="72"/>
      <c r="J20" s="78">
        <v>9.0</v>
      </c>
      <c r="K20" s="79"/>
      <c r="L20" s="80">
        <f>H20*J20</f>
        <v>53.91</v>
      </c>
      <c r="M20" s="63"/>
      <c r="N20" s="63"/>
      <c r="O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</row>
    <row r="22">
      <c r="A22" s="18"/>
      <c r="B22" s="74"/>
      <c r="C22" s="20"/>
      <c r="D22" s="75">
        <v>28.99</v>
      </c>
      <c r="E22" s="84"/>
      <c r="F22" s="84"/>
      <c r="G22" s="76">
        <f>SUM(D22,E22,F22)</f>
        <v>28.99</v>
      </c>
      <c r="H22" s="77">
        <f>AVERAGE(D22,E22,F22)</f>
        <v>28.99</v>
      </c>
      <c r="I22" s="72"/>
      <c r="J22" s="78">
        <v>0.2</v>
      </c>
      <c r="K22" s="79"/>
      <c r="L22" s="80">
        <f>H22*J22</f>
        <v>5.798</v>
      </c>
      <c r="M22" s="63"/>
      <c r="N22" s="63"/>
      <c r="O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</row>
    <row r="24">
      <c r="A24" s="18"/>
      <c r="B24" s="74"/>
      <c r="C24" s="20"/>
      <c r="D24" s="75">
        <v>10.9</v>
      </c>
      <c r="E24" s="75"/>
      <c r="F24" s="84"/>
      <c r="G24" s="76">
        <f>SUM(D24,E24,F24)</f>
        <v>10.9</v>
      </c>
      <c r="H24" s="77">
        <f>AVERAGE(D24,E24,F24)</f>
        <v>10.9</v>
      </c>
      <c r="I24" s="72"/>
      <c r="J24" s="78">
        <v>3.0</v>
      </c>
      <c r="K24" s="79"/>
      <c r="L24" s="80">
        <f>H24*J24</f>
        <v>32.7</v>
      </c>
      <c r="M24" s="63"/>
      <c r="N24" s="63"/>
      <c r="O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</row>
    <row r="26">
      <c r="A26" s="18"/>
      <c r="B26" s="74"/>
      <c r="C26" s="20"/>
      <c r="D26" s="75">
        <v>5.89</v>
      </c>
      <c r="E26" s="75">
        <v>5.89</v>
      </c>
      <c r="F26" s="75"/>
      <c r="G26" s="76">
        <f>SUM(D26,E26,F26)</f>
        <v>11.78</v>
      </c>
      <c r="H26" s="77">
        <f>AVERAGE(D26,E26,F26)</f>
        <v>5.89</v>
      </c>
      <c r="I26" s="72"/>
      <c r="J26" s="78">
        <v>4.0</v>
      </c>
      <c r="K26" s="79"/>
      <c r="L26" s="80">
        <f>H26*J26</f>
        <v>23.56</v>
      </c>
      <c r="M26" s="63"/>
      <c r="N26" s="63"/>
      <c r="O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</row>
    <row r="28">
      <c r="A28" s="18"/>
      <c r="B28" s="74"/>
      <c r="C28" s="20"/>
      <c r="D28" s="75">
        <v>1.99</v>
      </c>
      <c r="E28" s="75"/>
      <c r="F28" s="75"/>
      <c r="G28" s="76">
        <f>SUM(D28,E28,F28)</f>
        <v>1.99</v>
      </c>
      <c r="H28" s="77">
        <f>AVERAGE(D28,E28,F28)</f>
        <v>1.99</v>
      </c>
      <c r="I28" s="72"/>
      <c r="J28" s="78">
        <v>2.0</v>
      </c>
      <c r="K28" s="79"/>
      <c r="L28" s="80">
        <f>H28*J28</f>
        <v>3.98</v>
      </c>
      <c r="M28" s="63"/>
      <c r="N28" s="63"/>
      <c r="O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</row>
    <row r="30">
      <c r="A30" s="18"/>
      <c r="B30" s="74"/>
      <c r="C30" s="20"/>
      <c r="D30" s="75">
        <v>13.99</v>
      </c>
      <c r="E30" s="84"/>
      <c r="F30" s="84"/>
      <c r="G30" s="76">
        <f>SUM(D30,E30,F30)</f>
        <v>13.99</v>
      </c>
      <c r="H30" s="77">
        <f>AVERAGE(D30,E30,F30)</f>
        <v>13.99</v>
      </c>
      <c r="I30" s="72"/>
      <c r="J30" s="78">
        <v>6.0</v>
      </c>
      <c r="K30" s="79"/>
      <c r="L30" s="80">
        <f>H30*J30</f>
        <v>83.94</v>
      </c>
      <c r="M30" s="63"/>
      <c r="N30" s="63"/>
      <c r="O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</row>
    <row r="32">
      <c r="A32" s="18"/>
      <c r="B32" s="74"/>
      <c r="C32" s="20"/>
      <c r="D32" s="75">
        <v>3.99</v>
      </c>
      <c r="E32" s="75"/>
      <c r="F32" s="84"/>
      <c r="G32" s="76">
        <f>SUM(D32,E32,F32)</f>
        <v>3.99</v>
      </c>
      <c r="H32" s="77">
        <f>AVERAGE(D32,E32,F32)</f>
        <v>3.99</v>
      </c>
      <c r="I32" s="72"/>
      <c r="J32" s="78">
        <v>7.5</v>
      </c>
      <c r="K32" s="79"/>
      <c r="L32" s="80">
        <f>H32*J32</f>
        <v>29.925</v>
      </c>
      <c r="M32" s="63"/>
      <c r="N32" s="63"/>
      <c r="O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</row>
    <row r="34">
      <c r="A34" s="18"/>
      <c r="B34" s="74"/>
      <c r="C34" s="20"/>
      <c r="D34" s="75">
        <v>6.8</v>
      </c>
      <c r="E34" s="75"/>
      <c r="F34" s="75"/>
      <c r="G34" s="76">
        <f>SUM(D34,E34,F34)</f>
        <v>6.8</v>
      </c>
      <c r="H34" s="77">
        <f>AVERAGE(D34,E34,F34)</f>
        <v>6.8</v>
      </c>
      <c r="I34" s="72"/>
      <c r="J34" s="78">
        <v>5.0</v>
      </c>
      <c r="K34" s="79"/>
      <c r="L34" s="80">
        <f>H34*J34</f>
        <v>34</v>
      </c>
      <c r="M34" s="63"/>
      <c r="N34" s="63"/>
      <c r="O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</row>
    <row r="36">
      <c r="A36" s="18"/>
      <c r="B36" s="74"/>
      <c r="C36" s="20"/>
      <c r="D36" s="75">
        <v>5.1</v>
      </c>
      <c r="E36" s="75">
        <v>5.1</v>
      </c>
      <c r="F36" s="75"/>
      <c r="G36" s="76">
        <f>SUM(D36,E36,F36)</f>
        <v>10.2</v>
      </c>
      <c r="H36" s="77">
        <f>AVERAGE(D36,E36,F36)</f>
        <v>5.1</v>
      </c>
      <c r="I36" s="72"/>
      <c r="J36" s="78">
        <v>7.5</v>
      </c>
      <c r="K36" s="79"/>
      <c r="L36" s="80">
        <f>H36*J36</f>
        <v>38.25</v>
      </c>
      <c r="M36" s="63"/>
      <c r="N36" s="63"/>
      <c r="O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</row>
    <row r="38">
      <c r="A38" s="18"/>
      <c r="B38" s="74"/>
      <c r="C38" s="20"/>
      <c r="D38" s="75">
        <v>23.99</v>
      </c>
      <c r="E38" s="75">
        <v>23.99</v>
      </c>
      <c r="F38" s="75"/>
      <c r="G38" s="76">
        <f>SUM(D38,E38,F38)</f>
        <v>47.98</v>
      </c>
      <c r="H38" s="77">
        <f>AVERAGE(D38,E38,F38)</f>
        <v>23.99</v>
      </c>
      <c r="I38" s="72"/>
      <c r="J38" s="78">
        <v>3.0</v>
      </c>
      <c r="K38" s="79"/>
      <c r="L38" s="80">
        <f>H38*J38</f>
        <v>71.97</v>
      </c>
      <c r="M38" s="63"/>
      <c r="N38" s="63"/>
      <c r="O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</row>
    <row r="40">
      <c r="A40" s="18"/>
      <c r="B40" s="74"/>
      <c r="C40" s="20"/>
      <c r="D40" s="75">
        <v>6.75</v>
      </c>
      <c r="E40" s="75">
        <v>4.0</v>
      </c>
      <c r="F40" s="75"/>
      <c r="G40" s="76">
        <f>SUM(D40,E40,F40)</f>
        <v>10.75</v>
      </c>
      <c r="H40" s="77">
        <f>AVERAGE(D40,E40,F40)</f>
        <v>5.375</v>
      </c>
      <c r="I40" s="72"/>
      <c r="J40" s="78">
        <v>4.0</v>
      </c>
      <c r="K40" s="79"/>
      <c r="L40" s="80">
        <f>H40*J40</f>
        <v>21.5</v>
      </c>
      <c r="M40" s="63"/>
      <c r="N40" s="63"/>
      <c r="O40" s="63"/>
    </row>
    <row r="41">
      <c r="A41" s="68">
        <f>A39+1</f>
        <v>20</v>
      </c>
      <c r="B41" s="69" t="s">
        <v>68</v>
      </c>
      <c r="C41" s="12"/>
      <c r="D41" s="70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</row>
    <row r="42">
      <c r="A42" s="18"/>
      <c r="B42" s="74"/>
      <c r="C42" s="20"/>
      <c r="D42" s="75"/>
      <c r="E42" s="75"/>
      <c r="F42" s="75">
        <v>3.49</v>
      </c>
      <c r="G42" s="76">
        <f>SUM(D42,E42,F42)</f>
        <v>3.49</v>
      </c>
      <c r="H42" s="77">
        <f>AVERAGE(D42,E42,F42)</f>
        <v>3.49</v>
      </c>
      <c r="I42" s="72"/>
      <c r="J42" s="78">
        <v>4.0</v>
      </c>
      <c r="K42" s="79"/>
      <c r="L42" s="80">
        <f>H42*J42</f>
        <v>13.96</v>
      </c>
      <c r="M42" s="63"/>
      <c r="N42" s="63"/>
      <c r="O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  <c r="O43" s="63"/>
    </row>
    <row r="44">
      <c r="A44" s="18"/>
      <c r="B44" s="74"/>
      <c r="C44" s="20"/>
      <c r="D44" s="75">
        <v>42.0</v>
      </c>
      <c r="E44" s="75"/>
      <c r="F44" s="75"/>
      <c r="G44" s="76">
        <f>SUM(D44,E44,F44)</f>
        <v>42</v>
      </c>
      <c r="H44" s="77">
        <f>AVERAGE(D44,E44,F44)</f>
        <v>42</v>
      </c>
      <c r="I44" s="72"/>
      <c r="J44" s="78">
        <v>3.0</v>
      </c>
      <c r="K44" s="79"/>
      <c r="L44" s="80">
        <f>H44*J44</f>
        <v>126</v>
      </c>
      <c r="M44" s="63"/>
      <c r="N44" s="63"/>
      <c r="O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  <c r="O45" s="63"/>
    </row>
    <row r="46">
      <c r="A46" s="18"/>
      <c r="B46" s="74"/>
      <c r="C46" s="20"/>
      <c r="D46" s="75">
        <v>37.9</v>
      </c>
      <c r="E46" s="75"/>
      <c r="F46" s="75"/>
      <c r="G46" s="76">
        <f>SUM(D46,E46,F46)</f>
        <v>37.9</v>
      </c>
      <c r="H46" s="77">
        <f>AVERAGE(D46,E46,F46)</f>
        <v>37.9</v>
      </c>
      <c r="I46" s="72"/>
      <c r="J46" s="78">
        <v>4.0</v>
      </c>
      <c r="K46" s="79"/>
      <c r="L46" s="80">
        <f>H46*J46</f>
        <v>151.6</v>
      </c>
      <c r="M46" s="63"/>
      <c r="N46" s="63"/>
      <c r="O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</row>
    <row r="48">
      <c r="A48" s="18"/>
      <c r="B48" s="74"/>
      <c r="C48" s="20"/>
      <c r="D48" s="75">
        <v>10.5</v>
      </c>
      <c r="E48" s="75"/>
      <c r="F48" s="84"/>
      <c r="G48" s="76">
        <f>SUM(D48,E48,F48)</f>
        <v>10.5</v>
      </c>
      <c r="H48" s="77">
        <f>AVERAGE(D48,E48,F48)</f>
        <v>10.5</v>
      </c>
      <c r="I48" s="72"/>
      <c r="J48" s="78">
        <v>5.0</v>
      </c>
      <c r="K48" s="79"/>
      <c r="L48" s="80">
        <f>H48*J48</f>
        <v>52.5</v>
      </c>
      <c r="M48" s="63"/>
      <c r="N48" s="63"/>
      <c r="O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</row>
    <row r="50">
      <c r="A50" s="18"/>
      <c r="B50" s="74"/>
      <c r="C50" s="20"/>
      <c r="D50" s="75">
        <v>18.5</v>
      </c>
      <c r="E50" s="75"/>
      <c r="F50" s="75"/>
      <c r="G50" s="76">
        <f>SUM(D50,E50,F50)</f>
        <v>18.5</v>
      </c>
      <c r="H50" s="77">
        <f>AVERAGE(D50,E50,F50)</f>
        <v>18.5</v>
      </c>
      <c r="I50" s="72"/>
      <c r="J50" s="78">
        <v>0.5</v>
      </c>
      <c r="K50" s="79"/>
      <c r="L50" s="80">
        <f>H50*J50</f>
        <v>9.25</v>
      </c>
      <c r="M50" s="63"/>
      <c r="N50" s="63"/>
      <c r="O50" s="63"/>
    </row>
    <row r="51">
      <c r="A51" s="68">
        <f>A49+1</f>
        <v>25</v>
      </c>
      <c r="B51" s="69" t="s">
        <v>86</v>
      </c>
      <c r="C51" s="12"/>
      <c r="D51" s="83" t="s">
        <v>157</v>
      </c>
      <c r="E51" s="70" t="s">
        <v>82</v>
      </c>
      <c r="F51" s="70" t="s">
        <v>141</v>
      </c>
      <c r="G51" s="71"/>
      <c r="H51" s="71"/>
      <c r="I51" s="72"/>
      <c r="J51" s="81"/>
      <c r="K51" s="74"/>
      <c r="L51" s="82"/>
      <c r="M51" s="63"/>
      <c r="N51" s="63"/>
      <c r="O51" s="63"/>
    </row>
    <row r="52">
      <c r="A52" s="18"/>
      <c r="B52" s="74"/>
      <c r="C52" s="20"/>
      <c r="D52" s="75">
        <v>16.8</v>
      </c>
      <c r="E52" s="75">
        <v>19.99</v>
      </c>
      <c r="F52" s="75"/>
      <c r="G52" s="76">
        <f>SUM(D52,E52,F52)</f>
        <v>36.79</v>
      </c>
      <c r="H52" s="77">
        <f>AVERAGE(D52,E52,F52)</f>
        <v>18.395</v>
      </c>
      <c r="I52" s="72"/>
      <c r="J52" s="78">
        <v>0.3</v>
      </c>
      <c r="K52" s="79"/>
      <c r="L52" s="80">
        <f>H52*J52</f>
        <v>5.5185</v>
      </c>
      <c r="M52" s="63"/>
      <c r="N52" s="63"/>
      <c r="O52" s="63"/>
    </row>
    <row r="53">
      <c r="A53" s="68">
        <f>A51+1</f>
        <v>26</v>
      </c>
      <c r="B53" s="69" t="s">
        <v>88</v>
      </c>
      <c r="C53" s="12"/>
      <c r="D53" s="70" t="s">
        <v>142</v>
      </c>
      <c r="E53" s="70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  <c r="O53" s="63"/>
    </row>
    <row r="54">
      <c r="A54" s="18"/>
      <c r="B54" s="74"/>
      <c r="C54" s="20"/>
      <c r="D54" s="75">
        <v>36.0</v>
      </c>
      <c r="E54" s="75"/>
      <c r="F54" s="75"/>
      <c r="G54" s="76">
        <f>SUM(D54,E54,F54)</f>
        <v>36</v>
      </c>
      <c r="H54" s="77">
        <f>AVERAGE(D54,E54,F54)</f>
        <v>36</v>
      </c>
      <c r="I54" s="85"/>
      <c r="J54" s="78">
        <v>0.5</v>
      </c>
      <c r="K54" s="85"/>
      <c r="L54" s="80">
        <f>H54*J54</f>
        <v>18</v>
      </c>
      <c r="M54" s="63"/>
      <c r="N54" s="63"/>
      <c r="O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381.6066667</v>
      </c>
      <c r="I55" s="85"/>
      <c r="J55" s="88" t="s">
        <v>6</v>
      </c>
      <c r="K55" s="20"/>
      <c r="L55" s="89">
        <f>SUM(L4:L54)</f>
        <v>1042.078167</v>
      </c>
      <c r="M55" s="63"/>
      <c r="N55" s="63"/>
      <c r="O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</row>
    <row r="58">
      <c r="A58" s="18"/>
      <c r="B58" s="74"/>
      <c r="C58" s="20"/>
      <c r="D58" s="75">
        <v>7.5</v>
      </c>
      <c r="E58" s="75"/>
      <c r="F58" s="75"/>
      <c r="G58" s="76">
        <f>SUM(D58,E58,F58)</f>
        <v>7.5</v>
      </c>
      <c r="H58" s="77">
        <f>AVERAGE(D58,E58,F58)</f>
        <v>7.5</v>
      </c>
      <c r="I58" s="72"/>
      <c r="J58" s="78">
        <v>4.0</v>
      </c>
      <c r="K58" s="79"/>
      <c r="L58" s="80">
        <f>H58*J58</f>
        <v>30</v>
      </c>
      <c r="M58" s="63"/>
      <c r="N58" s="63"/>
      <c r="O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</row>
    <row r="60">
      <c r="A60" s="18"/>
      <c r="B60" s="74"/>
      <c r="C60" s="20"/>
      <c r="D60" s="75">
        <v>3.99</v>
      </c>
      <c r="E60" s="75"/>
      <c r="F60" s="84"/>
      <c r="G60" s="76">
        <f>SUM(D60,E60,F60)</f>
        <v>3.99</v>
      </c>
      <c r="H60" s="77">
        <f>AVERAGE(D60,E60,F60)</f>
        <v>3.99</v>
      </c>
      <c r="I60" s="72"/>
      <c r="J60" s="78">
        <v>15.0</v>
      </c>
      <c r="K60" s="79"/>
      <c r="L60" s="80">
        <f>H60*J60</f>
        <v>59.85</v>
      </c>
      <c r="M60" s="63"/>
      <c r="N60" s="63"/>
      <c r="O60" s="63"/>
    </row>
    <row r="61">
      <c r="A61" s="68">
        <f>A59+1</f>
        <v>29</v>
      </c>
      <c r="B61" s="69" t="s">
        <v>100</v>
      </c>
      <c r="C61" s="12"/>
      <c r="D61" s="70" t="s">
        <v>99</v>
      </c>
      <c r="E61" s="83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  <c r="O61" s="63"/>
    </row>
    <row r="62">
      <c r="A62" s="18"/>
      <c r="B62" s="74"/>
      <c r="C62" s="20"/>
      <c r="D62" s="75"/>
      <c r="E62" s="75">
        <v>4.1</v>
      </c>
      <c r="F62" s="75"/>
      <c r="G62" s="76">
        <f>SUM(D62,E62,F62)</f>
        <v>4.1</v>
      </c>
      <c r="H62" s="77">
        <f>AVERAGE(D62,E62,F62)</f>
        <v>4.1</v>
      </c>
      <c r="I62" s="72"/>
      <c r="J62" s="78">
        <v>2.0</v>
      </c>
      <c r="K62" s="79"/>
      <c r="L62" s="80">
        <f>H62*J62</f>
        <v>8.2</v>
      </c>
      <c r="M62" s="63"/>
      <c r="N62" s="63"/>
      <c r="O62" s="63"/>
    </row>
    <row r="63">
      <c r="A63" s="68">
        <f>A61+1</f>
        <v>30</v>
      </c>
      <c r="B63" s="69" t="s">
        <v>103</v>
      </c>
      <c r="C63" s="12"/>
      <c r="D63" s="70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</row>
    <row r="64">
      <c r="A64" s="18"/>
      <c r="B64" s="74"/>
      <c r="C64" s="20"/>
      <c r="D64" s="75">
        <v>2.59</v>
      </c>
      <c r="E64" s="75">
        <v>2.59</v>
      </c>
      <c r="F64" s="75"/>
      <c r="G64" s="76">
        <f>SUM(D64,E64,F64)</f>
        <v>5.18</v>
      </c>
      <c r="H64" s="77">
        <f>AVERAGE(D64,E64,F64)</f>
        <v>2.59</v>
      </c>
      <c r="I64" s="85"/>
      <c r="J64" s="78">
        <v>2.0</v>
      </c>
      <c r="K64" s="79"/>
      <c r="L64" s="80">
        <f>H64*J64</f>
        <v>5.18</v>
      </c>
      <c r="M64" s="63"/>
      <c r="N64" s="63"/>
      <c r="O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18.18</v>
      </c>
      <c r="I65" s="85"/>
      <c r="J65" s="88" t="s">
        <v>6</v>
      </c>
      <c r="K65" s="20"/>
      <c r="L65" s="89">
        <f>SUM(L57:L64)</f>
        <v>103.23</v>
      </c>
      <c r="M65" s="63"/>
      <c r="N65" s="63"/>
      <c r="O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  <c r="O67" s="63"/>
    </row>
    <row r="68">
      <c r="A68" s="18"/>
      <c r="B68" s="74"/>
      <c r="C68" s="20"/>
      <c r="D68" s="75">
        <v>8.99</v>
      </c>
      <c r="E68" s="75"/>
      <c r="F68" s="103"/>
      <c r="G68" s="76">
        <f>SUM(D68,E68,F68)</f>
        <v>8.99</v>
      </c>
      <c r="H68" s="77">
        <f>AVERAGE(D68,E68,F68)</f>
        <v>8.99</v>
      </c>
      <c r="I68" s="72"/>
      <c r="J68" s="78">
        <v>3.0</v>
      </c>
      <c r="K68" s="79"/>
      <c r="L68" s="80">
        <f>H68*J68</f>
        <v>26.97</v>
      </c>
      <c r="M68" s="63"/>
      <c r="N68" s="63"/>
      <c r="O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</row>
    <row r="70">
      <c r="A70" s="18"/>
      <c r="B70" s="74"/>
      <c r="C70" s="20"/>
      <c r="D70" s="75">
        <v>8.9</v>
      </c>
      <c r="E70" s="75"/>
      <c r="F70" s="84"/>
      <c r="G70" s="76">
        <f>SUM(D70,E70,F70)</f>
        <v>8.9</v>
      </c>
      <c r="H70" s="77">
        <f>AVERAGE(D70,E70,F70)</f>
        <v>8.9</v>
      </c>
      <c r="I70" s="72"/>
      <c r="J70" s="78">
        <v>2.0</v>
      </c>
      <c r="K70" s="79"/>
      <c r="L70" s="80">
        <f>H70*J70</f>
        <v>17.8</v>
      </c>
      <c r="M70" s="63"/>
      <c r="N70" s="63"/>
      <c r="O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</row>
    <row r="72">
      <c r="A72" s="18"/>
      <c r="B72" s="74"/>
      <c r="C72" s="20"/>
      <c r="D72" s="75">
        <v>5.49</v>
      </c>
      <c r="E72" s="75"/>
      <c r="F72" s="84"/>
      <c r="G72" s="76">
        <f>SUM(D72,E72,F72)</f>
        <v>5.49</v>
      </c>
      <c r="H72" s="77">
        <f>AVERAGE(D72,E72,F72)</f>
        <v>5.49</v>
      </c>
      <c r="I72" s="72"/>
      <c r="J72" s="78">
        <v>10.0</v>
      </c>
      <c r="K72" s="79"/>
      <c r="L72" s="80">
        <f>H72*J72</f>
        <v>54.9</v>
      </c>
      <c r="M72" s="63"/>
      <c r="N72" s="63"/>
      <c r="O72" s="63"/>
    </row>
    <row r="73">
      <c r="A73" s="68">
        <f>A71+1</f>
        <v>34</v>
      </c>
      <c r="B73" s="69" t="s">
        <v>119</v>
      </c>
      <c r="C73" s="12"/>
      <c r="D73" s="83" t="s">
        <v>151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</row>
    <row r="74">
      <c r="A74" s="18"/>
      <c r="B74" s="74"/>
      <c r="C74" s="20"/>
      <c r="D74" s="75">
        <v>17.8</v>
      </c>
      <c r="E74" s="75">
        <v>15.99</v>
      </c>
      <c r="F74" s="84"/>
      <c r="G74" s="76">
        <f>SUM(D74,E74,F74)</f>
        <v>33.79</v>
      </c>
      <c r="H74" s="77">
        <f>AVERAGE(D74,E74,F74)</f>
        <v>16.895</v>
      </c>
      <c r="I74" s="72"/>
      <c r="J74" s="78">
        <v>2.0</v>
      </c>
      <c r="K74" s="79"/>
      <c r="L74" s="80">
        <f>H74*J74</f>
        <v>33.79</v>
      </c>
      <c r="M74" s="63"/>
      <c r="N74" s="63"/>
      <c r="O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</row>
    <row r="76">
      <c r="A76" s="18"/>
      <c r="B76" s="74"/>
      <c r="C76" s="20"/>
      <c r="D76" s="75">
        <v>5.85</v>
      </c>
      <c r="E76" s="75"/>
      <c r="F76" s="84"/>
      <c r="G76" s="76">
        <f>SUM(D76,E76,F76)</f>
        <v>5.85</v>
      </c>
      <c r="H76" s="77">
        <f>AVERAGE(D76,E76,F76)</f>
        <v>5.85</v>
      </c>
      <c r="I76" s="85"/>
      <c r="J76" s="78">
        <v>1.0</v>
      </c>
      <c r="K76" s="79"/>
      <c r="L76" s="80">
        <f>H76*J76</f>
        <v>5.85</v>
      </c>
      <c r="M76" s="63"/>
      <c r="N76" s="63"/>
      <c r="O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46.125</v>
      </c>
      <c r="I77" s="85"/>
      <c r="J77" s="88" t="s">
        <v>6</v>
      </c>
      <c r="K77" s="20"/>
      <c r="L77" s="89">
        <f>SUM(L68:L76)</f>
        <v>139.31</v>
      </c>
      <c r="M77" s="63"/>
      <c r="N77" s="63"/>
      <c r="O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445.9116667</v>
      </c>
      <c r="I80" s="63"/>
      <c r="J80" s="72"/>
      <c r="K80" s="97" t="s">
        <v>6</v>
      </c>
      <c r="L80" s="89">
        <f>L55+L65+L77</f>
        <v>1284.618167</v>
      </c>
      <c r="M80" s="63"/>
      <c r="N80" s="63"/>
      <c r="O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</row>
    <row r="2">
      <c r="A2" s="102" t="s">
        <v>158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</row>
    <row r="4">
      <c r="A4" s="18"/>
      <c r="B4" s="74"/>
      <c r="C4" s="20"/>
      <c r="D4" s="75">
        <v>32.99</v>
      </c>
      <c r="E4" s="75">
        <v>28.99</v>
      </c>
      <c r="F4" s="75"/>
      <c r="G4" s="76">
        <f>SUM(D4,E4,F4)</f>
        <v>61.98</v>
      </c>
      <c r="H4" s="77">
        <f>AVERAGE(D4,E4,F4)</f>
        <v>30.99</v>
      </c>
      <c r="I4" s="72"/>
      <c r="J4" s="78">
        <v>3.0</v>
      </c>
      <c r="K4" s="79" t="s">
        <v>11</v>
      </c>
      <c r="L4" s="80">
        <f>H4*J4</f>
        <v>92.97</v>
      </c>
      <c r="M4" s="63"/>
      <c r="N4" s="63"/>
      <c r="O4" s="63"/>
      <c r="P4" s="63"/>
      <c r="Q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</row>
    <row r="6">
      <c r="A6" s="18"/>
      <c r="B6" s="74"/>
      <c r="C6" s="20"/>
      <c r="D6" s="75">
        <v>5.49</v>
      </c>
      <c r="E6" s="75">
        <v>5.8</v>
      </c>
      <c r="F6" s="75"/>
      <c r="G6" s="76">
        <f>SUM(D6,E6,F6)</f>
        <v>11.29</v>
      </c>
      <c r="H6" s="77">
        <f>AVERAGE(D6,E6,F6)</f>
        <v>5.645</v>
      </c>
      <c r="I6" s="72"/>
      <c r="J6" s="78">
        <v>4.0</v>
      </c>
      <c r="K6" s="79"/>
      <c r="L6" s="80">
        <f>H6*J6</f>
        <v>22.58</v>
      </c>
      <c r="M6" s="63"/>
      <c r="N6" s="63"/>
      <c r="O6" s="63"/>
      <c r="P6" s="63"/>
      <c r="Q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</row>
    <row r="8">
      <c r="A8" s="18"/>
      <c r="B8" s="74"/>
      <c r="C8" s="20"/>
      <c r="D8" s="75">
        <v>15.9</v>
      </c>
      <c r="E8" s="75"/>
      <c r="F8" s="75"/>
      <c r="G8" s="76">
        <f>SUM(D8,E8,F8)</f>
        <v>15.9</v>
      </c>
      <c r="H8" s="77">
        <f>AVERAGE(D8,E8,F8)</f>
        <v>15.9</v>
      </c>
      <c r="I8" s="72"/>
      <c r="J8" s="78">
        <v>2.0</v>
      </c>
      <c r="K8" s="79"/>
      <c r="L8" s="80">
        <f>H8*J8</f>
        <v>31.8</v>
      </c>
      <c r="M8" s="63"/>
      <c r="N8" s="63"/>
      <c r="O8" s="63"/>
      <c r="P8" s="63"/>
      <c r="Q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130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</row>
    <row r="10">
      <c r="A10" s="18"/>
      <c r="B10" s="74"/>
      <c r="C10" s="20"/>
      <c r="D10" s="75">
        <v>28.0</v>
      </c>
      <c r="E10" s="75">
        <v>28.99</v>
      </c>
      <c r="F10" s="75"/>
      <c r="G10" s="76">
        <f>SUM(D10,E10,F10)</f>
        <v>56.99</v>
      </c>
      <c r="H10" s="77">
        <f>AVERAGE(D10,E10,F10)</f>
        <v>28.495</v>
      </c>
      <c r="I10" s="72"/>
      <c r="J10" s="78">
        <v>3.0</v>
      </c>
      <c r="K10" s="79"/>
      <c r="L10" s="80">
        <f>H10*J10</f>
        <v>85.485</v>
      </c>
      <c r="M10" s="63"/>
      <c r="N10" s="63"/>
      <c r="O10" s="63"/>
      <c r="P10" s="63"/>
      <c r="Q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</row>
    <row r="12">
      <c r="A12" s="18"/>
      <c r="B12" s="74"/>
      <c r="C12" s="20"/>
      <c r="D12" s="75">
        <v>5.3</v>
      </c>
      <c r="E12" s="75">
        <v>6.4</v>
      </c>
      <c r="F12" s="75"/>
      <c r="G12" s="76">
        <f>SUM(D12,E12,F12)</f>
        <v>11.7</v>
      </c>
      <c r="H12" s="77">
        <f>AVERAGE(D12,E12,F12)</f>
        <v>5.85</v>
      </c>
      <c r="I12" s="72"/>
      <c r="J12" s="78">
        <v>3.0</v>
      </c>
      <c r="K12" s="79"/>
      <c r="L12" s="80">
        <f>H12*J12</f>
        <v>17.55</v>
      </c>
      <c r="M12" s="63"/>
      <c r="N12" s="63"/>
      <c r="O12" s="63"/>
      <c r="P12" s="63"/>
      <c r="Q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</row>
    <row r="14">
      <c r="A14" s="18"/>
      <c r="B14" s="74"/>
      <c r="C14" s="20"/>
      <c r="D14" s="75"/>
      <c r="E14" s="75">
        <v>7.68</v>
      </c>
      <c r="F14" s="75">
        <v>8.99</v>
      </c>
      <c r="G14" s="76">
        <f>SUM(D14,E14,F14)</f>
        <v>16.67</v>
      </c>
      <c r="H14" s="77">
        <f>AVERAGE(D14,E14,F14)</f>
        <v>8.335</v>
      </c>
      <c r="I14" s="72"/>
      <c r="J14" s="78">
        <v>1.0</v>
      </c>
      <c r="K14" s="79"/>
      <c r="L14" s="80">
        <f>H14*J14</f>
        <v>8.335</v>
      </c>
      <c r="M14" s="63"/>
      <c r="N14" s="63"/>
      <c r="O14" s="63"/>
      <c r="P14" s="63"/>
      <c r="Q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83" t="s">
        <v>159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</row>
    <row r="16">
      <c r="A16" s="18"/>
      <c r="B16" s="74"/>
      <c r="C16" s="20"/>
      <c r="D16" s="75">
        <v>5.99</v>
      </c>
      <c r="E16" s="84"/>
      <c r="F16" s="84"/>
      <c r="G16" s="76">
        <f>SUM(D16,E16,F16)</f>
        <v>5.99</v>
      </c>
      <c r="H16" s="77">
        <f>AVERAGE(D16,E16,F16)</f>
        <v>5.99</v>
      </c>
      <c r="I16" s="72"/>
      <c r="J16" s="78">
        <v>4.0</v>
      </c>
      <c r="K16" s="79"/>
      <c r="L16" s="80">
        <f>H16*J16</f>
        <v>23.96</v>
      </c>
      <c r="M16" s="63"/>
      <c r="N16" s="63"/>
      <c r="O16" s="63"/>
      <c r="P16" s="63"/>
      <c r="Q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</row>
    <row r="18">
      <c r="A18" s="18"/>
      <c r="B18" s="74"/>
      <c r="C18" s="20"/>
      <c r="D18" s="75">
        <v>3.3</v>
      </c>
      <c r="E18" s="84"/>
      <c r="F18" s="84"/>
      <c r="G18" s="76">
        <f>SUM(D18,E18,F18)</f>
        <v>3.3</v>
      </c>
      <c r="H18" s="77">
        <f>AVERAGE(D18,E18,F18)</f>
        <v>3.3</v>
      </c>
      <c r="I18" s="72"/>
      <c r="J18" s="78">
        <v>1.0</v>
      </c>
      <c r="K18" s="79"/>
      <c r="L18" s="80">
        <f>H18*J18</f>
        <v>3.3</v>
      </c>
      <c r="M18" s="63"/>
      <c r="N18" s="63"/>
      <c r="O18" s="63"/>
      <c r="P18" s="63"/>
      <c r="Q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</row>
    <row r="20">
      <c r="A20" s="18"/>
      <c r="B20" s="74"/>
      <c r="C20" s="20"/>
      <c r="D20" s="75">
        <v>6.99</v>
      </c>
      <c r="E20" s="84"/>
      <c r="F20" s="84"/>
      <c r="G20" s="76">
        <f>SUM(D20,E20,F20)</f>
        <v>6.99</v>
      </c>
      <c r="H20" s="77">
        <f>AVERAGE(D20,E20,F20)</f>
        <v>6.99</v>
      </c>
      <c r="I20" s="72"/>
      <c r="J20" s="78">
        <v>9.0</v>
      </c>
      <c r="K20" s="79"/>
      <c r="L20" s="80">
        <f>H20*J20</f>
        <v>62.91</v>
      </c>
      <c r="M20" s="63"/>
      <c r="N20" s="63"/>
      <c r="O20" s="63"/>
      <c r="P20" s="63"/>
      <c r="Q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</row>
    <row r="22">
      <c r="A22" s="18"/>
      <c r="B22" s="74"/>
      <c r="C22" s="20"/>
      <c r="D22" s="75">
        <v>27.8</v>
      </c>
      <c r="E22" s="84"/>
      <c r="F22" s="84"/>
      <c r="G22" s="76">
        <f>SUM(D22,E22,F22)</f>
        <v>27.8</v>
      </c>
      <c r="H22" s="77">
        <f>AVERAGE(D22,E22,F22)</f>
        <v>27.8</v>
      </c>
      <c r="I22" s="72"/>
      <c r="J22" s="78">
        <v>0.2</v>
      </c>
      <c r="K22" s="79"/>
      <c r="L22" s="80">
        <f>H22*J22</f>
        <v>5.56</v>
      </c>
      <c r="M22" s="63"/>
      <c r="N22" s="63"/>
      <c r="O22" s="63"/>
      <c r="P22" s="63"/>
      <c r="Q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83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</row>
    <row r="24">
      <c r="A24" s="18"/>
      <c r="B24" s="74"/>
      <c r="C24" s="20"/>
      <c r="D24" s="75">
        <v>10.5</v>
      </c>
      <c r="E24" s="75"/>
      <c r="F24" s="103"/>
      <c r="G24" s="76">
        <f>SUM(D24,E24,F24)</f>
        <v>10.5</v>
      </c>
      <c r="H24" s="77">
        <f>AVERAGE(D24,E24,F24)</f>
        <v>10.5</v>
      </c>
      <c r="I24" s="72"/>
      <c r="J24" s="78">
        <v>3.0</v>
      </c>
      <c r="K24" s="79"/>
      <c r="L24" s="80">
        <f>H24*J24</f>
        <v>31.5</v>
      </c>
      <c r="M24" s="63"/>
      <c r="N24" s="63"/>
      <c r="O24" s="63"/>
      <c r="P24" s="63"/>
      <c r="Q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</row>
    <row r="26">
      <c r="A26" s="18"/>
      <c r="B26" s="74"/>
      <c r="C26" s="20"/>
      <c r="D26" s="75">
        <v>5.89</v>
      </c>
      <c r="E26" s="75">
        <v>5.25</v>
      </c>
      <c r="F26" s="75"/>
      <c r="G26" s="76">
        <f>SUM(D26,E26,F26)</f>
        <v>11.14</v>
      </c>
      <c r="H26" s="77">
        <f>AVERAGE(D26,E26,F26)</f>
        <v>5.57</v>
      </c>
      <c r="I26" s="72"/>
      <c r="J26" s="78">
        <v>4.0</v>
      </c>
      <c r="K26" s="79"/>
      <c r="L26" s="80">
        <f>H26*J26</f>
        <v>22.28</v>
      </c>
      <c r="M26" s="63"/>
      <c r="N26" s="63"/>
      <c r="O26" s="63"/>
      <c r="P26" s="63"/>
      <c r="Q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</row>
    <row r="28">
      <c r="A28" s="18"/>
      <c r="B28" s="74"/>
      <c r="C28" s="20"/>
      <c r="D28" s="75">
        <v>1.99</v>
      </c>
      <c r="E28" s="75">
        <v>1.99</v>
      </c>
      <c r="F28" s="75"/>
      <c r="G28" s="76">
        <f>SUM(D28,E28,F28)</f>
        <v>3.98</v>
      </c>
      <c r="H28" s="77">
        <f>AVERAGE(D28,E28,F28)</f>
        <v>1.99</v>
      </c>
      <c r="I28" s="72"/>
      <c r="J28" s="78">
        <v>2.0</v>
      </c>
      <c r="K28" s="79"/>
      <c r="L28" s="80">
        <f>H28*J28</f>
        <v>3.98</v>
      </c>
      <c r="M28" s="63"/>
      <c r="N28" s="63"/>
      <c r="O28" s="63"/>
      <c r="P28" s="63"/>
      <c r="Q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</row>
    <row r="30">
      <c r="A30" s="18"/>
      <c r="B30" s="74"/>
      <c r="C30" s="20"/>
      <c r="D30" s="75">
        <v>14.0</v>
      </c>
      <c r="E30" s="84"/>
      <c r="F30" s="84"/>
      <c r="G30" s="76">
        <f>SUM(D30,E30,F30)</f>
        <v>14</v>
      </c>
      <c r="H30" s="77">
        <f>AVERAGE(D30,E30,F30)</f>
        <v>14</v>
      </c>
      <c r="I30" s="72"/>
      <c r="J30" s="78">
        <v>6.0</v>
      </c>
      <c r="K30" s="79"/>
      <c r="L30" s="80">
        <f>H30*J30</f>
        <v>84</v>
      </c>
      <c r="M30" s="63"/>
      <c r="N30" s="63"/>
      <c r="O30" s="63"/>
      <c r="P30" s="63"/>
      <c r="Q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</row>
    <row r="32">
      <c r="A32" s="18"/>
      <c r="B32" s="74"/>
      <c r="C32" s="20"/>
      <c r="D32" s="75">
        <v>3.99</v>
      </c>
      <c r="E32" s="75"/>
      <c r="F32" s="84"/>
      <c r="G32" s="76">
        <f>SUM(D32,E32,F32)</f>
        <v>3.99</v>
      </c>
      <c r="H32" s="77">
        <f>AVERAGE(D32,E32,F32)</f>
        <v>3.99</v>
      </c>
      <c r="I32" s="72"/>
      <c r="J32" s="78">
        <v>7.5</v>
      </c>
      <c r="K32" s="79"/>
      <c r="L32" s="80">
        <f>H32*J32</f>
        <v>29.925</v>
      </c>
      <c r="M32" s="63"/>
      <c r="N32" s="63"/>
      <c r="O32" s="63"/>
      <c r="P32" s="63"/>
      <c r="Q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</row>
    <row r="34">
      <c r="A34" s="18"/>
      <c r="B34" s="74"/>
      <c r="C34" s="20"/>
      <c r="D34" s="75">
        <v>8.3</v>
      </c>
      <c r="E34" s="103"/>
      <c r="F34" s="103"/>
      <c r="G34" s="76">
        <f>SUM(D34,E34,F34)</f>
        <v>8.3</v>
      </c>
      <c r="H34" s="77">
        <f>AVERAGE(D34,E34,F34)</f>
        <v>8.3</v>
      </c>
      <c r="I34" s="72"/>
      <c r="J34" s="78">
        <v>5.0</v>
      </c>
      <c r="K34" s="79"/>
      <c r="L34" s="80">
        <f>H34*J34</f>
        <v>41.5</v>
      </c>
      <c r="M34" s="63"/>
      <c r="N34" s="63"/>
      <c r="O34" s="63"/>
      <c r="P34" s="63"/>
      <c r="Q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</row>
    <row r="36">
      <c r="A36" s="18"/>
      <c r="B36" s="74"/>
      <c r="C36" s="20"/>
      <c r="D36" s="75"/>
      <c r="E36" s="75">
        <v>5.1</v>
      </c>
      <c r="F36" s="75">
        <v>5.1</v>
      </c>
      <c r="G36" s="76">
        <f>SUM(D36,E36,F36)</f>
        <v>10.2</v>
      </c>
      <c r="H36" s="77">
        <f>AVERAGE(D36,E36,F36)</f>
        <v>5.1</v>
      </c>
      <c r="I36" s="72"/>
      <c r="J36" s="78">
        <v>7.5</v>
      </c>
      <c r="K36" s="79"/>
      <c r="L36" s="80">
        <f>H36*J36</f>
        <v>38.25</v>
      </c>
      <c r="M36" s="63"/>
      <c r="N36" s="63"/>
      <c r="O36" s="63"/>
      <c r="P36" s="63"/>
      <c r="Q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</row>
    <row r="38">
      <c r="A38" s="18"/>
      <c r="B38" s="74"/>
      <c r="C38" s="20"/>
      <c r="D38" s="75">
        <v>17.99</v>
      </c>
      <c r="E38" s="75">
        <v>17.99</v>
      </c>
      <c r="F38" s="75"/>
      <c r="G38" s="76">
        <f>SUM(D38,E38,F38)</f>
        <v>35.98</v>
      </c>
      <c r="H38" s="77">
        <f>AVERAGE(D38,E38,F38)</f>
        <v>17.99</v>
      </c>
      <c r="I38" s="72"/>
      <c r="J38" s="78">
        <v>3.0</v>
      </c>
      <c r="K38" s="79"/>
      <c r="L38" s="80">
        <f>H38*J38</f>
        <v>53.97</v>
      </c>
      <c r="M38" s="63"/>
      <c r="N38" s="63"/>
      <c r="O38" s="63"/>
      <c r="P38" s="63"/>
      <c r="Q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</row>
    <row r="40">
      <c r="A40" s="18"/>
      <c r="B40" s="74"/>
      <c r="C40" s="20"/>
      <c r="D40" s="75">
        <v>4.3</v>
      </c>
      <c r="E40" s="75"/>
      <c r="F40" s="75">
        <v>3.79</v>
      </c>
      <c r="G40" s="76">
        <f>SUM(D40,E40,F40)</f>
        <v>8.09</v>
      </c>
      <c r="H40" s="77">
        <f>AVERAGE(D40,E40,F40)</f>
        <v>4.045</v>
      </c>
      <c r="I40" s="72"/>
      <c r="J40" s="78">
        <v>4.0</v>
      </c>
      <c r="K40" s="79"/>
      <c r="L40" s="80">
        <f>H40*J40</f>
        <v>16.18</v>
      </c>
      <c r="M40" s="63"/>
      <c r="N40" s="63"/>
      <c r="O40" s="63"/>
      <c r="P40" s="63"/>
      <c r="Q40" s="63"/>
    </row>
    <row r="41">
      <c r="A41" s="68">
        <f>A39+1</f>
        <v>20</v>
      </c>
      <c r="B41" s="69" t="s">
        <v>68</v>
      </c>
      <c r="C41" s="12"/>
      <c r="D41" s="70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</row>
    <row r="42">
      <c r="A42" s="18"/>
      <c r="B42" s="74"/>
      <c r="C42" s="20"/>
      <c r="D42" s="75"/>
      <c r="E42" s="75"/>
      <c r="F42" s="75">
        <v>3.0</v>
      </c>
      <c r="G42" s="76">
        <f>SUM(D42,E42,F42)</f>
        <v>3</v>
      </c>
      <c r="H42" s="77">
        <f>AVERAGE(D42,E42,F42)</f>
        <v>3</v>
      </c>
      <c r="I42" s="72"/>
      <c r="J42" s="78">
        <v>4.0</v>
      </c>
      <c r="K42" s="79"/>
      <c r="L42" s="80">
        <f>H42*J42</f>
        <v>12</v>
      </c>
      <c r="M42" s="63"/>
      <c r="N42" s="63"/>
      <c r="O42" s="63"/>
      <c r="P42" s="63"/>
      <c r="Q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</row>
    <row r="44">
      <c r="A44" s="18"/>
      <c r="B44" s="74"/>
      <c r="C44" s="20"/>
      <c r="D44" s="75">
        <v>42.0</v>
      </c>
      <c r="E44" s="75">
        <v>41.0</v>
      </c>
      <c r="F44" s="75">
        <v>39.0</v>
      </c>
      <c r="G44" s="76">
        <f>SUM(D44,E44,F44)</f>
        <v>122</v>
      </c>
      <c r="H44" s="77">
        <f>AVERAGE(D44,E44,F44)</f>
        <v>40.66666667</v>
      </c>
      <c r="I44" s="72"/>
      <c r="J44" s="78">
        <v>3.0</v>
      </c>
      <c r="K44" s="79"/>
      <c r="L44" s="80">
        <f>H44*J44</f>
        <v>122</v>
      </c>
      <c r="M44" s="63"/>
      <c r="N44" s="63"/>
      <c r="O44" s="63"/>
      <c r="P44" s="63"/>
      <c r="Q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</row>
    <row r="46">
      <c r="A46" s="18"/>
      <c r="B46" s="74"/>
      <c r="C46" s="20"/>
      <c r="D46" s="75">
        <v>37.8</v>
      </c>
      <c r="E46" s="75"/>
      <c r="F46" s="75"/>
      <c r="G46" s="76">
        <f>SUM(D46,E46,F46)</f>
        <v>37.8</v>
      </c>
      <c r="H46" s="77">
        <f>AVERAGE(D46,E46,F46)</f>
        <v>37.8</v>
      </c>
      <c r="I46" s="72"/>
      <c r="J46" s="78">
        <v>4.0</v>
      </c>
      <c r="K46" s="79"/>
      <c r="L46" s="80">
        <f>H46*J46</f>
        <v>151.2</v>
      </c>
      <c r="M46" s="63"/>
      <c r="N46" s="63"/>
      <c r="O46" s="63"/>
      <c r="P46" s="63"/>
      <c r="Q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</row>
    <row r="48">
      <c r="A48" s="18"/>
      <c r="B48" s="74"/>
      <c r="C48" s="20"/>
      <c r="D48" s="75">
        <v>10.5</v>
      </c>
      <c r="E48" s="104">
        <v>10.3</v>
      </c>
      <c r="F48" s="84"/>
      <c r="G48" s="76">
        <f>SUM(D48,E48,F48)</f>
        <v>20.8</v>
      </c>
      <c r="H48" s="77">
        <f>AVERAGE(D48,E48,F48)</f>
        <v>10.4</v>
      </c>
      <c r="I48" s="72"/>
      <c r="J48" s="78">
        <v>5.0</v>
      </c>
      <c r="K48" s="79"/>
      <c r="L48" s="80">
        <f>H48*J48</f>
        <v>52</v>
      </c>
      <c r="M48" s="63"/>
      <c r="N48" s="63"/>
      <c r="O48" s="63"/>
      <c r="P48" s="63"/>
      <c r="Q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</row>
    <row r="50">
      <c r="A50" s="18"/>
      <c r="B50" s="74"/>
      <c r="C50" s="20"/>
      <c r="D50" s="75">
        <v>10.38</v>
      </c>
      <c r="E50" s="75">
        <v>10.89</v>
      </c>
      <c r="F50" s="75"/>
      <c r="G50" s="76">
        <f>SUM(D50,E50,F50)</f>
        <v>21.27</v>
      </c>
      <c r="H50" s="77">
        <f>AVERAGE(D50,E50,F50)</f>
        <v>10.635</v>
      </c>
      <c r="I50" s="72"/>
      <c r="J50" s="78">
        <v>0.5</v>
      </c>
      <c r="K50" s="79"/>
      <c r="L50" s="80">
        <f>H50*J50</f>
        <v>5.3175</v>
      </c>
      <c r="M50" s="63"/>
      <c r="N50" s="63"/>
      <c r="O50" s="63"/>
      <c r="P50" s="63"/>
      <c r="Q50" s="63"/>
    </row>
    <row r="51">
      <c r="A51" s="68">
        <f>A49+1</f>
        <v>25</v>
      </c>
      <c r="B51" s="69" t="s">
        <v>86</v>
      </c>
      <c r="C51" s="12"/>
      <c r="D51" s="70" t="s">
        <v>84</v>
      </c>
      <c r="E51" s="83" t="s">
        <v>82</v>
      </c>
      <c r="F51" s="83" t="s">
        <v>141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</row>
    <row r="52">
      <c r="A52" s="18"/>
      <c r="B52" s="74"/>
      <c r="C52" s="20"/>
      <c r="D52" s="75">
        <v>17.0</v>
      </c>
      <c r="E52" s="75">
        <v>17.3</v>
      </c>
      <c r="F52" s="75"/>
      <c r="G52" s="76">
        <f>SUM(D52,E52,F52)</f>
        <v>34.3</v>
      </c>
      <c r="H52" s="77">
        <f>AVERAGE(D52,E52,F52)</f>
        <v>17.15</v>
      </c>
      <c r="I52" s="72"/>
      <c r="J52" s="78">
        <v>0.3</v>
      </c>
      <c r="K52" s="79"/>
      <c r="L52" s="80">
        <f>H52*J52</f>
        <v>5.145</v>
      </c>
      <c r="M52" s="63"/>
      <c r="N52" s="63"/>
      <c r="O52" s="63"/>
      <c r="P52" s="63"/>
      <c r="Q52" s="63"/>
    </row>
    <row r="53">
      <c r="A53" s="68">
        <f>A51+1</f>
        <v>26</v>
      </c>
      <c r="B53" s="69" t="s">
        <v>88</v>
      </c>
      <c r="C53" s="12"/>
      <c r="D53" s="70" t="s">
        <v>160</v>
      </c>
      <c r="E53" s="83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</row>
    <row r="54">
      <c r="A54" s="18"/>
      <c r="B54" s="74"/>
      <c r="C54" s="20"/>
      <c r="D54" s="75">
        <v>39.9</v>
      </c>
      <c r="E54" s="75"/>
      <c r="F54" s="75"/>
      <c r="G54" s="76">
        <f>SUM(D54,E54,F54)</f>
        <v>39.9</v>
      </c>
      <c r="H54" s="77">
        <f>AVERAGE(D54,E54,F54)</f>
        <v>39.9</v>
      </c>
      <c r="I54" s="85"/>
      <c r="J54" s="78">
        <v>0.5</v>
      </c>
      <c r="K54" s="85"/>
      <c r="L54" s="80">
        <f>H54*J54</f>
        <v>19.95</v>
      </c>
      <c r="M54" s="63"/>
      <c r="N54" s="63"/>
      <c r="O54" s="63"/>
      <c r="P54" s="63"/>
      <c r="Q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370.3316667</v>
      </c>
      <c r="I55" s="85"/>
      <c r="J55" s="88" t="s">
        <v>6</v>
      </c>
      <c r="K55" s="20"/>
      <c r="L55" s="89">
        <f>SUM(L4:L54)</f>
        <v>1043.6475</v>
      </c>
      <c r="M55" s="63"/>
      <c r="N55" s="63"/>
      <c r="O55" s="63"/>
      <c r="P55" s="63"/>
      <c r="Q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</row>
    <row r="58">
      <c r="A58" s="18"/>
      <c r="B58" s="74"/>
      <c r="C58" s="20"/>
      <c r="D58" s="75">
        <v>6.49</v>
      </c>
      <c r="E58" s="75">
        <v>6.49</v>
      </c>
      <c r="F58" s="75"/>
      <c r="G58" s="76">
        <f>SUM(D58,E58,F58)</f>
        <v>12.98</v>
      </c>
      <c r="H58" s="77">
        <f>AVERAGE(D58,E58,F58)</f>
        <v>6.49</v>
      </c>
      <c r="I58" s="72"/>
      <c r="J58" s="78">
        <v>4.0</v>
      </c>
      <c r="K58" s="79"/>
      <c r="L58" s="80">
        <f>H58*J58</f>
        <v>25.96</v>
      </c>
      <c r="M58" s="63"/>
      <c r="N58" s="63"/>
      <c r="O58" s="63"/>
      <c r="P58" s="63"/>
      <c r="Q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</row>
    <row r="60">
      <c r="A60" s="18"/>
      <c r="B60" s="74"/>
      <c r="C60" s="20"/>
      <c r="D60" s="75">
        <v>2.79</v>
      </c>
      <c r="E60" s="75">
        <v>2.85</v>
      </c>
      <c r="F60" s="84"/>
      <c r="G60" s="76">
        <f>SUM(D60,E60,F60)</f>
        <v>5.64</v>
      </c>
      <c r="H60" s="77">
        <f>AVERAGE(D60,E60,F60)</f>
        <v>2.82</v>
      </c>
      <c r="I60" s="72"/>
      <c r="J60" s="78">
        <v>15.0</v>
      </c>
      <c r="K60" s="79"/>
      <c r="L60" s="80">
        <f>H60*J60</f>
        <v>42.3</v>
      </c>
      <c r="M60" s="63"/>
      <c r="N60" s="63"/>
      <c r="O60" s="63"/>
      <c r="P60" s="63"/>
      <c r="Q60" s="63"/>
    </row>
    <row r="61">
      <c r="A61" s="68">
        <f>A59+1</f>
        <v>29</v>
      </c>
      <c r="B61" s="69" t="s">
        <v>100</v>
      </c>
      <c r="C61" s="12"/>
      <c r="D61" s="70" t="s">
        <v>161</v>
      </c>
      <c r="E61" s="70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</row>
    <row r="62">
      <c r="A62" s="18"/>
      <c r="B62" s="74"/>
      <c r="C62" s="20"/>
      <c r="D62" s="75">
        <v>3.1</v>
      </c>
      <c r="E62" s="75"/>
      <c r="F62" s="75"/>
      <c r="G62" s="76">
        <f>SUM(D62,E62,F62)</f>
        <v>3.1</v>
      </c>
      <c r="H62" s="77">
        <f>AVERAGE(D62,E62,F62)</f>
        <v>3.1</v>
      </c>
      <c r="I62" s="72"/>
      <c r="J62" s="78">
        <v>2.0</v>
      </c>
      <c r="K62" s="79"/>
      <c r="L62" s="80">
        <f>H62*J62</f>
        <v>6.2</v>
      </c>
      <c r="M62" s="63"/>
      <c r="N62" s="63"/>
      <c r="O62" s="63"/>
      <c r="P62" s="63"/>
      <c r="Q62" s="63"/>
    </row>
    <row r="63">
      <c r="A63" s="68">
        <f>A61+1</f>
        <v>30</v>
      </c>
      <c r="B63" s="69" t="s">
        <v>103</v>
      </c>
      <c r="C63" s="12"/>
      <c r="D63" s="70" t="s">
        <v>162</v>
      </c>
      <c r="E63" s="83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</row>
    <row r="64">
      <c r="A64" s="18"/>
      <c r="B64" s="74"/>
      <c r="C64" s="20"/>
      <c r="D64" s="75">
        <v>2.59</v>
      </c>
      <c r="E64" s="75">
        <v>2.59</v>
      </c>
      <c r="F64" s="75"/>
      <c r="G64" s="76">
        <f>SUM(D64,E64,F64)</f>
        <v>5.18</v>
      </c>
      <c r="H64" s="77">
        <f>AVERAGE(D64,E64,F64)</f>
        <v>2.59</v>
      </c>
      <c r="I64" s="85"/>
      <c r="J64" s="78">
        <v>2.0</v>
      </c>
      <c r="K64" s="79"/>
      <c r="L64" s="80">
        <f>H64*J64</f>
        <v>5.18</v>
      </c>
      <c r="M64" s="63"/>
      <c r="N64" s="63"/>
      <c r="O64" s="63"/>
      <c r="P64" s="63"/>
      <c r="Q64" s="63"/>
    </row>
    <row r="65">
      <c r="A65" s="105" t="s">
        <v>106</v>
      </c>
      <c r="B65" s="74"/>
      <c r="C65" s="74"/>
      <c r="D65" s="74"/>
      <c r="E65" s="74"/>
      <c r="F65" s="74"/>
      <c r="G65" s="82"/>
      <c r="H65" s="87">
        <f>SUM(H57:H64)</f>
        <v>15</v>
      </c>
      <c r="I65" s="85"/>
      <c r="J65" s="88" t="s">
        <v>6</v>
      </c>
      <c r="K65" s="20"/>
      <c r="L65" s="89">
        <f>SUM(L57:L64)</f>
        <v>79.64</v>
      </c>
      <c r="M65" s="63"/>
      <c r="N65" s="63"/>
      <c r="O65" s="63"/>
      <c r="P65" s="63"/>
      <c r="Q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</row>
    <row r="68">
      <c r="A68" s="18"/>
      <c r="B68" s="74"/>
      <c r="C68" s="20"/>
      <c r="D68" s="75">
        <v>5.1</v>
      </c>
      <c r="E68" s="75">
        <v>5.15</v>
      </c>
      <c r="F68" s="75"/>
      <c r="G68" s="76">
        <f>SUM(D68,E68,F68)</f>
        <v>10.25</v>
      </c>
      <c r="H68" s="77">
        <f>AVERAGE(D68,E68,F68)</f>
        <v>5.125</v>
      </c>
      <c r="I68" s="72"/>
      <c r="J68" s="78">
        <v>3.0</v>
      </c>
      <c r="K68" s="79"/>
      <c r="L68" s="80">
        <f>H68*J68</f>
        <v>15.375</v>
      </c>
      <c r="M68" s="63"/>
      <c r="N68" s="63"/>
      <c r="O68" s="63"/>
      <c r="P68" s="63"/>
      <c r="Q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</row>
    <row r="70">
      <c r="A70" s="18"/>
      <c r="B70" s="74"/>
      <c r="C70" s="20"/>
      <c r="D70" s="75">
        <v>4.89</v>
      </c>
      <c r="E70" s="75"/>
      <c r="F70" s="84"/>
      <c r="G70" s="76">
        <f>SUM(D70,E70,F70)</f>
        <v>4.89</v>
      </c>
      <c r="H70" s="77">
        <f>AVERAGE(D70,E70,F70)</f>
        <v>4.89</v>
      </c>
      <c r="I70" s="72"/>
      <c r="J70" s="78">
        <v>2.0</v>
      </c>
      <c r="K70" s="79"/>
      <c r="L70" s="80">
        <f>H70*J70</f>
        <v>9.78</v>
      </c>
      <c r="M70" s="63"/>
      <c r="N70" s="63"/>
      <c r="O70" s="63"/>
      <c r="P70" s="63"/>
      <c r="Q70" s="63"/>
    </row>
    <row r="71">
      <c r="A71" s="68">
        <f>A69+1</f>
        <v>33</v>
      </c>
      <c r="B71" s="69" t="s">
        <v>115</v>
      </c>
      <c r="C71" s="12"/>
      <c r="D71" s="83" t="s">
        <v>163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</row>
    <row r="72">
      <c r="A72" s="18"/>
      <c r="B72" s="74"/>
      <c r="C72" s="20"/>
      <c r="D72" s="75">
        <v>2.49</v>
      </c>
      <c r="E72" s="75"/>
      <c r="F72" s="84"/>
      <c r="G72" s="76">
        <f>SUM(D72,E72,F72)</f>
        <v>2.49</v>
      </c>
      <c r="H72" s="77">
        <f>AVERAGE(D72,E72,F72)</f>
        <v>2.49</v>
      </c>
      <c r="I72" s="72"/>
      <c r="J72" s="78">
        <v>10.0</v>
      </c>
      <c r="K72" s="79"/>
      <c r="L72" s="80">
        <f>H72*J72</f>
        <v>24.9</v>
      </c>
      <c r="M72" s="63"/>
      <c r="N72" s="63"/>
      <c r="O72" s="63"/>
      <c r="P72" s="63"/>
      <c r="Q72" s="63"/>
    </row>
    <row r="73">
      <c r="A73" s="68">
        <f>A71+1</f>
        <v>34</v>
      </c>
      <c r="B73" s="69" t="s">
        <v>119</v>
      </c>
      <c r="C73" s="12"/>
      <c r="D73" s="83" t="s">
        <v>151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</row>
    <row r="74">
      <c r="A74" s="18"/>
      <c r="B74" s="74"/>
      <c r="C74" s="20"/>
      <c r="D74" s="75">
        <v>2.0</v>
      </c>
      <c r="E74" s="75"/>
      <c r="F74" s="84"/>
      <c r="G74" s="76">
        <f>SUM(D74,E74,F74)</f>
        <v>2</v>
      </c>
      <c r="H74" s="77">
        <f>AVERAGE(D74,E74,F74)</f>
        <v>2</v>
      </c>
      <c r="I74" s="72"/>
      <c r="J74" s="78">
        <v>2.0</v>
      </c>
      <c r="K74" s="79"/>
      <c r="L74" s="80">
        <f>H74*J74</f>
        <v>4</v>
      </c>
      <c r="M74" s="63"/>
      <c r="N74" s="63"/>
      <c r="O74" s="63"/>
      <c r="P74" s="63"/>
      <c r="Q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</row>
    <row r="76">
      <c r="A76" s="18"/>
      <c r="B76" s="74"/>
      <c r="C76" s="20"/>
      <c r="D76" s="75">
        <v>5.49</v>
      </c>
      <c r="E76" s="75"/>
      <c r="F76" s="84"/>
      <c r="G76" s="76">
        <f>SUM(D76,E76,F76)</f>
        <v>5.49</v>
      </c>
      <c r="H76" s="77">
        <f>AVERAGE(D76,E76,F76)</f>
        <v>5.49</v>
      </c>
      <c r="I76" s="85"/>
      <c r="J76" s="78">
        <v>1.0</v>
      </c>
      <c r="K76" s="79"/>
      <c r="L76" s="80">
        <f>H76*J76</f>
        <v>5.49</v>
      </c>
      <c r="M76" s="63"/>
      <c r="N76" s="63"/>
      <c r="O76" s="63"/>
      <c r="P76" s="63"/>
      <c r="Q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19.995</v>
      </c>
      <c r="I77" s="85"/>
      <c r="J77" s="88" t="s">
        <v>6</v>
      </c>
      <c r="K77" s="20"/>
      <c r="L77" s="89">
        <f>SUM(L68:L76)</f>
        <v>59.545</v>
      </c>
      <c r="M77" s="63"/>
      <c r="N77" s="63"/>
      <c r="O77" s="63"/>
      <c r="P77" s="63"/>
      <c r="Q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405.3266667</v>
      </c>
      <c r="I80" s="63"/>
      <c r="J80" s="72"/>
      <c r="K80" s="97" t="s">
        <v>6</v>
      </c>
      <c r="L80" s="89">
        <f>L55+L65+L77</f>
        <v>1182.8325</v>
      </c>
      <c r="M80" s="63"/>
      <c r="N80" s="63"/>
      <c r="O80" s="63"/>
      <c r="P80" s="63"/>
      <c r="Q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  <c r="P83" s="63"/>
      <c r="Q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</row>
    <row r="2">
      <c r="A2" s="102" t="s">
        <v>164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</row>
    <row r="3">
      <c r="A3" s="68">
        <v>1.0</v>
      </c>
      <c r="B3" s="69" t="s">
        <v>2</v>
      </c>
      <c r="C3" s="12"/>
      <c r="D3" s="70" t="s">
        <v>165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</row>
    <row r="4">
      <c r="A4" s="18"/>
      <c r="B4" s="74"/>
      <c r="C4" s="20"/>
      <c r="D4" s="75">
        <v>25.9</v>
      </c>
      <c r="E4" s="75">
        <v>26.8</v>
      </c>
      <c r="F4" s="75"/>
      <c r="G4" s="76">
        <f>SUM(D4,E4,F4)</f>
        <v>52.7</v>
      </c>
      <c r="H4" s="77">
        <f>AVERAGE(D4,E4,F4)</f>
        <v>26.35</v>
      </c>
      <c r="I4" s="72"/>
      <c r="J4" s="78">
        <v>3.0</v>
      </c>
      <c r="K4" s="79" t="s">
        <v>11</v>
      </c>
      <c r="L4" s="80">
        <f>H4*J4</f>
        <v>79.05</v>
      </c>
      <c r="M4" s="63"/>
      <c r="N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</row>
    <row r="6">
      <c r="A6" s="18"/>
      <c r="B6" s="74"/>
      <c r="C6" s="20"/>
      <c r="D6" s="75">
        <v>7.2</v>
      </c>
      <c r="E6" s="75">
        <v>6.49</v>
      </c>
      <c r="F6" s="75"/>
      <c r="G6" s="76">
        <f>SUM(D6,E6,F6)</f>
        <v>13.69</v>
      </c>
      <c r="H6" s="77">
        <f>AVERAGE(D6,E6,F6)</f>
        <v>6.845</v>
      </c>
      <c r="I6" s="72"/>
      <c r="J6" s="78">
        <v>4.0</v>
      </c>
      <c r="K6" s="79"/>
      <c r="L6" s="80">
        <f>H6*J6</f>
        <v>27.38</v>
      </c>
      <c r="M6" s="63"/>
      <c r="N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</row>
    <row r="8">
      <c r="A8" s="18"/>
      <c r="B8" s="74"/>
      <c r="C8" s="20"/>
      <c r="D8" s="75">
        <v>16.99</v>
      </c>
      <c r="E8" s="75"/>
      <c r="F8" s="75"/>
      <c r="G8" s="76">
        <f>SUM(D8,E8,F8)</f>
        <v>16.99</v>
      </c>
      <c r="H8" s="77">
        <f>AVERAGE(D8,E8,F8)</f>
        <v>16.99</v>
      </c>
      <c r="I8" s="72"/>
      <c r="J8" s="78">
        <v>2.0</v>
      </c>
      <c r="K8" s="79"/>
      <c r="L8" s="80">
        <f>H8*J8</f>
        <v>33.98</v>
      </c>
      <c r="M8" s="63"/>
      <c r="N8" s="63"/>
    </row>
    <row r="9">
      <c r="A9" s="68">
        <f>A7+1</f>
        <v>4</v>
      </c>
      <c r="B9" s="69" t="s">
        <v>19</v>
      </c>
      <c r="C9" s="12"/>
      <c r="D9" s="83" t="s">
        <v>20</v>
      </c>
      <c r="E9" s="70" t="s">
        <v>21</v>
      </c>
      <c r="F9" s="83" t="s">
        <v>166</v>
      </c>
      <c r="G9" s="71"/>
      <c r="H9" s="71"/>
      <c r="I9" s="72"/>
      <c r="J9" s="81"/>
      <c r="K9" s="74"/>
      <c r="L9" s="82"/>
      <c r="M9" s="63"/>
      <c r="N9" s="63"/>
    </row>
    <row r="10">
      <c r="A10" s="18"/>
      <c r="B10" s="74"/>
      <c r="C10" s="20"/>
      <c r="D10" s="75">
        <v>26.8</v>
      </c>
      <c r="E10" s="75"/>
      <c r="F10" s="75"/>
      <c r="G10" s="76">
        <f>SUM(D10,E10,F10)</f>
        <v>26.8</v>
      </c>
      <c r="H10" s="77">
        <f>AVERAGE(D10,E10,F10)</f>
        <v>26.8</v>
      </c>
      <c r="I10" s="72"/>
      <c r="J10" s="78">
        <v>3.0</v>
      </c>
      <c r="K10" s="79"/>
      <c r="L10" s="80">
        <f>H10*J10</f>
        <v>80.4</v>
      </c>
      <c r="M10" s="63"/>
      <c r="N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</row>
    <row r="12">
      <c r="A12" s="18"/>
      <c r="B12" s="74"/>
      <c r="C12" s="20"/>
      <c r="D12" s="75">
        <v>5.49</v>
      </c>
      <c r="E12" s="75">
        <v>5.99</v>
      </c>
      <c r="F12" s="103"/>
      <c r="G12" s="76">
        <f>SUM(D12,E12,F12)</f>
        <v>11.48</v>
      </c>
      <c r="H12" s="77">
        <f>AVERAGE(D12,E12,F12)</f>
        <v>5.74</v>
      </c>
      <c r="I12" s="72"/>
      <c r="J12" s="78">
        <v>3.0</v>
      </c>
      <c r="K12" s="79"/>
      <c r="L12" s="80">
        <f>H12*J12</f>
        <v>17.22</v>
      </c>
      <c r="M12" s="63"/>
      <c r="N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</row>
    <row r="14">
      <c r="A14" s="18"/>
      <c r="B14" s="74"/>
      <c r="C14" s="20"/>
      <c r="D14" s="75"/>
      <c r="E14" s="75">
        <v>6.99</v>
      </c>
      <c r="F14" s="75">
        <v>9.8</v>
      </c>
      <c r="G14" s="76">
        <f>SUM(D14,E14,F14)</f>
        <v>16.79</v>
      </c>
      <c r="H14" s="77">
        <f>AVERAGE(D14,E14,F14)</f>
        <v>8.395</v>
      </c>
      <c r="I14" s="72"/>
      <c r="J14" s="78">
        <v>1.0</v>
      </c>
      <c r="K14" s="79"/>
      <c r="L14" s="80">
        <f>H14*J14</f>
        <v>8.395</v>
      </c>
      <c r="M14" s="63"/>
      <c r="N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83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</row>
    <row r="16">
      <c r="A16" s="18"/>
      <c r="B16" s="74"/>
      <c r="C16" s="20"/>
      <c r="D16" s="75">
        <v>5.99</v>
      </c>
      <c r="E16" s="84"/>
      <c r="F16" s="84"/>
      <c r="G16" s="76">
        <f>SUM(D16,E16,F16)</f>
        <v>5.99</v>
      </c>
      <c r="H16" s="77">
        <f>AVERAGE(D16,E16,F16)</f>
        <v>5.99</v>
      </c>
      <c r="I16" s="72"/>
      <c r="J16" s="78">
        <v>4.0</v>
      </c>
      <c r="K16" s="79"/>
      <c r="L16" s="80">
        <f>H16*J16</f>
        <v>23.96</v>
      </c>
      <c r="M16" s="63"/>
      <c r="N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</row>
    <row r="18">
      <c r="A18" s="18"/>
      <c r="B18" s="74"/>
      <c r="C18" s="20"/>
      <c r="D18" s="75">
        <v>5.99</v>
      </c>
      <c r="E18" s="84"/>
      <c r="F18" s="84"/>
      <c r="G18" s="76">
        <f>SUM(D18,E18,F18)</f>
        <v>5.99</v>
      </c>
      <c r="H18" s="77">
        <f>AVERAGE(D18,E18,F18)</f>
        <v>5.99</v>
      </c>
      <c r="I18" s="72"/>
      <c r="J18" s="78">
        <v>1.0</v>
      </c>
      <c r="K18" s="79"/>
      <c r="L18" s="80">
        <f>H18*J18</f>
        <v>5.99</v>
      </c>
      <c r="M18" s="63"/>
      <c r="N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</row>
    <row r="20">
      <c r="A20" s="18"/>
      <c r="B20" s="74"/>
      <c r="C20" s="20"/>
      <c r="D20" s="75">
        <v>9.99</v>
      </c>
      <c r="E20" s="84"/>
      <c r="F20" s="84"/>
      <c r="G20" s="76">
        <f>SUM(D20,E20,F20)</f>
        <v>9.99</v>
      </c>
      <c r="H20" s="77">
        <f>AVERAGE(D20,E20,F20)</f>
        <v>9.99</v>
      </c>
      <c r="I20" s="72"/>
      <c r="J20" s="78">
        <v>9.0</v>
      </c>
      <c r="K20" s="79"/>
      <c r="L20" s="80">
        <f>H20*J20</f>
        <v>89.91</v>
      </c>
      <c r="M20" s="63"/>
      <c r="N20" s="63"/>
    </row>
    <row r="21">
      <c r="A21" s="68">
        <f>A19+1</f>
        <v>10</v>
      </c>
      <c r="B21" s="69" t="s">
        <v>38</v>
      </c>
      <c r="C21" s="12"/>
      <c r="D21" s="83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</row>
    <row r="22">
      <c r="A22" s="18"/>
      <c r="B22" s="74"/>
      <c r="C22" s="20"/>
      <c r="D22" s="75">
        <v>10.5</v>
      </c>
      <c r="E22" s="84"/>
      <c r="F22" s="84"/>
      <c r="G22" s="76">
        <f>SUM(D22,E22,F22)</f>
        <v>10.5</v>
      </c>
      <c r="H22" s="77">
        <f>AVERAGE(D22,E22,F22)</f>
        <v>10.5</v>
      </c>
      <c r="I22" s="72"/>
      <c r="J22" s="78">
        <v>0.2</v>
      </c>
      <c r="K22" s="79"/>
      <c r="L22" s="80">
        <f>H22*J22</f>
        <v>2.1</v>
      </c>
      <c r="M22" s="63"/>
      <c r="N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</row>
    <row r="24">
      <c r="A24" s="18"/>
      <c r="B24" s="74"/>
      <c r="C24" s="20"/>
      <c r="D24" s="75">
        <v>11.0</v>
      </c>
      <c r="E24" s="75"/>
      <c r="F24" s="84"/>
      <c r="G24" s="76">
        <f>SUM(D24,E24,F24)</f>
        <v>11</v>
      </c>
      <c r="H24" s="77">
        <f>AVERAGE(D24,E24,F24)</f>
        <v>11</v>
      </c>
      <c r="I24" s="72"/>
      <c r="J24" s="78">
        <v>3.0</v>
      </c>
      <c r="K24" s="79"/>
      <c r="L24" s="80">
        <f>H24*J24</f>
        <v>33</v>
      </c>
      <c r="M24" s="63"/>
      <c r="N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</row>
    <row r="26">
      <c r="A26" s="18"/>
      <c r="B26" s="74"/>
      <c r="C26" s="20"/>
      <c r="D26" s="75">
        <v>5.99</v>
      </c>
      <c r="E26" s="75"/>
      <c r="F26" s="75">
        <v>5.25</v>
      </c>
      <c r="G26" s="76">
        <f>SUM(D26,E26,F26)</f>
        <v>11.24</v>
      </c>
      <c r="H26" s="77">
        <f>AVERAGE(D26,E26,F26)</f>
        <v>5.62</v>
      </c>
      <c r="I26" s="72"/>
      <c r="J26" s="78">
        <v>4.0</v>
      </c>
      <c r="K26" s="79"/>
      <c r="L26" s="80">
        <f>H26*J26</f>
        <v>22.48</v>
      </c>
      <c r="M26" s="63"/>
      <c r="N26" s="63"/>
    </row>
    <row r="27">
      <c r="A27" s="68">
        <f>A25+1</f>
        <v>13</v>
      </c>
      <c r="B27" s="69" t="s">
        <v>47</v>
      </c>
      <c r="C27" s="12"/>
      <c r="D27" s="83" t="s">
        <v>48</v>
      </c>
      <c r="E27" s="70" t="s">
        <v>90</v>
      </c>
      <c r="F27" s="83" t="s">
        <v>50</v>
      </c>
      <c r="G27" s="71"/>
      <c r="H27" s="71"/>
      <c r="I27" s="72"/>
      <c r="J27" s="81"/>
      <c r="K27" s="74"/>
      <c r="L27" s="82"/>
      <c r="M27" s="63"/>
      <c r="N27" s="63"/>
    </row>
    <row r="28">
      <c r="A28" s="18"/>
      <c r="B28" s="74"/>
      <c r="C28" s="20"/>
      <c r="D28" s="75">
        <v>2.2</v>
      </c>
      <c r="E28" s="75">
        <v>1.99</v>
      </c>
      <c r="F28" s="84"/>
      <c r="G28" s="76">
        <f>SUM(D28,E28,F28)</f>
        <v>4.19</v>
      </c>
      <c r="H28" s="77">
        <f>AVERAGE(D28,E28,F28)</f>
        <v>2.095</v>
      </c>
      <c r="I28" s="72"/>
      <c r="J28" s="78">
        <v>2.0</v>
      </c>
      <c r="K28" s="79"/>
      <c r="L28" s="80">
        <f>H28*J28</f>
        <v>4.19</v>
      </c>
      <c r="M28" s="63"/>
      <c r="N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</row>
    <row r="30">
      <c r="A30" s="18"/>
      <c r="B30" s="74"/>
      <c r="C30" s="20"/>
      <c r="D30" s="75">
        <v>13.99</v>
      </c>
      <c r="E30" s="84"/>
      <c r="F30" s="84"/>
      <c r="G30" s="76">
        <f>SUM(D30,E30,F30)</f>
        <v>13.99</v>
      </c>
      <c r="H30" s="77">
        <f>AVERAGE(D30,E30,F30)</f>
        <v>13.99</v>
      </c>
      <c r="I30" s="72"/>
      <c r="J30" s="78">
        <v>6.0</v>
      </c>
      <c r="K30" s="79"/>
      <c r="L30" s="80">
        <f>H30*J30</f>
        <v>83.94</v>
      </c>
      <c r="M30" s="63"/>
      <c r="N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</row>
    <row r="32">
      <c r="A32" s="18"/>
      <c r="B32" s="74"/>
      <c r="C32" s="20"/>
      <c r="D32" s="75">
        <v>4.8</v>
      </c>
      <c r="E32" s="75"/>
      <c r="F32" s="84"/>
      <c r="G32" s="76">
        <f>SUM(D32,E32,F32)</f>
        <v>4.8</v>
      </c>
      <c r="H32" s="77">
        <f>AVERAGE(D32,E32,F32)</f>
        <v>4.8</v>
      </c>
      <c r="I32" s="72"/>
      <c r="J32" s="78">
        <v>7.5</v>
      </c>
      <c r="K32" s="79"/>
      <c r="L32" s="80">
        <f>H32*J32</f>
        <v>36</v>
      </c>
      <c r="M32" s="63"/>
      <c r="N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</row>
    <row r="34">
      <c r="A34" s="18"/>
      <c r="B34" s="74"/>
      <c r="C34" s="20"/>
      <c r="D34" s="75">
        <v>4.3</v>
      </c>
      <c r="E34" s="75"/>
      <c r="F34" s="75"/>
      <c r="G34" s="76">
        <f>SUM(D34,E34,F34)</f>
        <v>4.3</v>
      </c>
      <c r="H34" s="77">
        <f>AVERAGE(D34,E34,F34)</f>
        <v>4.3</v>
      </c>
      <c r="I34" s="72"/>
      <c r="J34" s="78">
        <v>5.0</v>
      </c>
      <c r="K34" s="79"/>
      <c r="L34" s="80">
        <f>H34*J34</f>
        <v>21.5</v>
      </c>
      <c r="M34" s="63"/>
      <c r="N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</row>
    <row r="36">
      <c r="A36" s="18"/>
      <c r="B36" s="74"/>
      <c r="C36" s="20"/>
      <c r="D36" s="75">
        <v>5.15</v>
      </c>
      <c r="E36" s="75">
        <v>5.3</v>
      </c>
      <c r="F36" s="75"/>
      <c r="G36" s="76">
        <f>SUM(D36,E36,F36)</f>
        <v>10.45</v>
      </c>
      <c r="H36" s="77">
        <f>AVERAGE(D36,E36,F36)</f>
        <v>5.225</v>
      </c>
      <c r="I36" s="72"/>
      <c r="J36" s="78">
        <v>7.5</v>
      </c>
      <c r="K36" s="79"/>
      <c r="L36" s="80">
        <f>H36*J36</f>
        <v>39.1875</v>
      </c>
      <c r="M36" s="63"/>
      <c r="N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</row>
    <row r="38">
      <c r="A38" s="18"/>
      <c r="B38" s="74"/>
      <c r="C38" s="20"/>
      <c r="D38" s="75">
        <v>19.99</v>
      </c>
      <c r="E38" s="75">
        <v>21.98</v>
      </c>
      <c r="F38" s="75"/>
      <c r="G38" s="76">
        <f>SUM(D38,E38,F38)</f>
        <v>41.97</v>
      </c>
      <c r="H38" s="77">
        <f>AVERAGE(D38,E38,F38)</f>
        <v>20.985</v>
      </c>
      <c r="I38" s="72"/>
      <c r="J38" s="78">
        <v>3.0</v>
      </c>
      <c r="K38" s="79"/>
      <c r="L38" s="80">
        <f>H38*J38</f>
        <v>62.955</v>
      </c>
      <c r="M38" s="63"/>
      <c r="N38" s="63"/>
    </row>
    <row r="39">
      <c r="A39" s="68">
        <f>A37+1</f>
        <v>19</v>
      </c>
      <c r="B39" s="69" t="s">
        <v>66</v>
      </c>
      <c r="C39" s="12"/>
      <c r="D39" s="70" t="s">
        <v>167</v>
      </c>
      <c r="E39" s="70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</row>
    <row r="40">
      <c r="A40" s="18"/>
      <c r="B40" s="74"/>
      <c r="C40" s="20"/>
      <c r="D40" s="75">
        <v>5.8</v>
      </c>
      <c r="E40" s="75">
        <v>5.59</v>
      </c>
      <c r="F40" s="75">
        <v>5.3</v>
      </c>
      <c r="G40" s="76">
        <f>SUM(D40,E40,F40)</f>
        <v>16.69</v>
      </c>
      <c r="H40" s="77">
        <f>AVERAGE(D40,E40,F40)</f>
        <v>5.563333333</v>
      </c>
      <c r="I40" s="72"/>
      <c r="J40" s="78">
        <v>4.0</v>
      </c>
      <c r="K40" s="79"/>
      <c r="L40" s="80">
        <f>H40*J40</f>
        <v>22.25333333</v>
      </c>
      <c r="M40" s="63"/>
      <c r="N40" s="63"/>
    </row>
    <row r="41">
      <c r="A41" s="68">
        <f>A39+1</f>
        <v>20</v>
      </c>
      <c r="B41" s="69" t="s">
        <v>68</v>
      </c>
      <c r="C41" s="12"/>
      <c r="D41" s="70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</row>
    <row r="42">
      <c r="A42" s="18"/>
      <c r="B42" s="74"/>
      <c r="C42" s="20"/>
      <c r="D42" s="75"/>
      <c r="E42" s="75"/>
      <c r="F42" s="75">
        <v>3.49</v>
      </c>
      <c r="G42" s="76">
        <f>SUM(D42,E42,F42)</f>
        <v>3.49</v>
      </c>
      <c r="H42" s="77">
        <f>AVERAGE(D42,E42,F42)</f>
        <v>3.49</v>
      </c>
      <c r="I42" s="72"/>
      <c r="J42" s="78">
        <v>4.0</v>
      </c>
      <c r="K42" s="79"/>
      <c r="L42" s="80">
        <f>H42*J42</f>
        <v>13.96</v>
      </c>
      <c r="M42" s="63"/>
      <c r="N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</row>
    <row r="44">
      <c r="A44" s="18"/>
      <c r="B44" s="74"/>
      <c r="C44" s="20"/>
      <c r="D44" s="75">
        <v>45.0</v>
      </c>
      <c r="E44" s="75"/>
      <c r="F44" s="75"/>
      <c r="G44" s="76">
        <f>SUM(D44,E44,F44)</f>
        <v>45</v>
      </c>
      <c r="H44" s="77">
        <f>AVERAGE(D44,E44,F44)</f>
        <v>45</v>
      </c>
      <c r="I44" s="72"/>
      <c r="J44" s="78">
        <v>3.0</v>
      </c>
      <c r="K44" s="79"/>
      <c r="L44" s="80">
        <f>H44*J44</f>
        <v>135</v>
      </c>
      <c r="M44" s="63"/>
      <c r="N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</row>
    <row r="46">
      <c r="A46" s="18"/>
      <c r="B46" s="74"/>
      <c r="C46" s="20"/>
      <c r="D46" s="75">
        <v>41.0</v>
      </c>
      <c r="E46" s="75">
        <v>30.0</v>
      </c>
      <c r="F46" s="75"/>
      <c r="G46" s="76">
        <f>SUM(D46,E46,F46)</f>
        <v>71</v>
      </c>
      <c r="H46" s="77">
        <f>AVERAGE(D46,E46,F46)</f>
        <v>35.5</v>
      </c>
      <c r="I46" s="72"/>
      <c r="J46" s="78">
        <v>4.0</v>
      </c>
      <c r="K46" s="79"/>
      <c r="L46" s="80">
        <f>H46*J46</f>
        <v>142</v>
      </c>
      <c r="M46" s="63"/>
      <c r="N46" s="63"/>
    </row>
    <row r="47">
      <c r="A47" s="68">
        <f>A45+1</f>
        <v>23</v>
      </c>
      <c r="B47" s="69" t="s">
        <v>80</v>
      </c>
      <c r="C47" s="12"/>
      <c r="D47" s="70" t="s">
        <v>168</v>
      </c>
      <c r="E47" s="70" t="s">
        <v>82</v>
      </c>
      <c r="F47" s="83" t="s">
        <v>33</v>
      </c>
      <c r="G47" s="71"/>
      <c r="H47" s="71"/>
      <c r="I47" s="72"/>
      <c r="J47" s="81"/>
      <c r="K47" s="74"/>
      <c r="L47" s="82"/>
      <c r="M47" s="63"/>
      <c r="N47" s="63"/>
    </row>
    <row r="48">
      <c r="A48" s="18"/>
      <c r="B48" s="74"/>
      <c r="C48" s="20"/>
      <c r="D48" s="75">
        <v>10.6</v>
      </c>
      <c r="E48" s="75">
        <v>9.8</v>
      </c>
      <c r="F48" s="84"/>
      <c r="G48" s="76">
        <f>SUM(D48,E48,F48)</f>
        <v>20.4</v>
      </c>
      <c r="H48" s="77">
        <f>AVERAGE(D48,E48,F48)</f>
        <v>10.2</v>
      </c>
      <c r="I48" s="72"/>
      <c r="J48" s="78">
        <v>5.0</v>
      </c>
      <c r="K48" s="79"/>
      <c r="L48" s="80">
        <f>H48*J48</f>
        <v>51</v>
      </c>
      <c r="M48" s="63"/>
      <c r="N48" s="63"/>
    </row>
    <row r="49">
      <c r="A49" s="68">
        <f>A47+1</f>
        <v>24</v>
      </c>
      <c r="B49" s="69" t="s">
        <v>83</v>
      </c>
      <c r="C49" s="12"/>
      <c r="D49" s="70" t="s">
        <v>168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</row>
    <row r="50">
      <c r="A50" s="18"/>
      <c r="B50" s="74"/>
      <c r="C50" s="20"/>
      <c r="D50" s="75">
        <v>8.99</v>
      </c>
      <c r="E50" s="75"/>
      <c r="F50" s="75"/>
      <c r="G50" s="76">
        <f>SUM(D50,E50,F50)</f>
        <v>8.99</v>
      </c>
      <c r="H50" s="77">
        <f>AVERAGE(D50,E50,F50)</f>
        <v>8.99</v>
      </c>
      <c r="I50" s="72"/>
      <c r="J50" s="78">
        <v>0.5</v>
      </c>
      <c r="K50" s="79"/>
      <c r="L50" s="80">
        <f>H50*J50</f>
        <v>4.495</v>
      </c>
      <c r="M50" s="63"/>
      <c r="N50" s="63"/>
    </row>
    <row r="51">
      <c r="A51" s="68">
        <f>A49+1</f>
        <v>25</v>
      </c>
      <c r="B51" s="69" t="s">
        <v>86</v>
      </c>
      <c r="C51" s="12"/>
      <c r="D51" s="70" t="s">
        <v>84</v>
      </c>
      <c r="E51" s="70" t="s">
        <v>82</v>
      </c>
      <c r="F51" s="70" t="s">
        <v>141</v>
      </c>
      <c r="G51" s="71"/>
      <c r="H51" s="71"/>
      <c r="I51" s="72"/>
      <c r="J51" s="81"/>
      <c r="K51" s="74"/>
      <c r="L51" s="82"/>
      <c r="M51" s="63"/>
      <c r="N51" s="63"/>
    </row>
    <row r="52">
      <c r="A52" s="18"/>
      <c r="B52" s="74"/>
      <c r="C52" s="20"/>
      <c r="D52" s="75">
        <v>16.99</v>
      </c>
      <c r="E52" s="103"/>
      <c r="F52" s="103"/>
      <c r="G52" s="76">
        <f>SUM(D52,E52,F52)</f>
        <v>16.99</v>
      </c>
      <c r="H52" s="77">
        <f>AVERAGE(D52,E52,F52)</f>
        <v>16.99</v>
      </c>
      <c r="I52" s="72"/>
      <c r="J52" s="78">
        <v>0.3</v>
      </c>
      <c r="K52" s="79"/>
      <c r="L52" s="80">
        <f>H52*J52</f>
        <v>5.097</v>
      </c>
      <c r="M52" s="63"/>
      <c r="N52" s="63"/>
    </row>
    <row r="53">
      <c r="A53" s="68">
        <f>A51+1</f>
        <v>26</v>
      </c>
      <c r="B53" s="69" t="s">
        <v>88</v>
      </c>
      <c r="C53" s="12"/>
      <c r="D53" s="70" t="s">
        <v>169</v>
      </c>
      <c r="E53" s="70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</row>
    <row r="54">
      <c r="A54" s="18"/>
      <c r="B54" s="74"/>
      <c r="C54" s="20"/>
      <c r="D54" s="75">
        <v>35.3</v>
      </c>
      <c r="E54" s="75"/>
      <c r="F54" s="75"/>
      <c r="G54" s="76">
        <f>SUM(D54,E54,F54)</f>
        <v>35.3</v>
      </c>
      <c r="H54" s="77">
        <f>AVERAGE(D54,E54,F54)</f>
        <v>35.3</v>
      </c>
      <c r="I54" s="85"/>
      <c r="J54" s="78">
        <v>0.5</v>
      </c>
      <c r="K54" s="85"/>
      <c r="L54" s="80">
        <f>H54*J54</f>
        <v>17.65</v>
      </c>
      <c r="M54" s="63"/>
      <c r="N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352.6383333</v>
      </c>
      <c r="I55" s="85"/>
      <c r="J55" s="88" t="s">
        <v>6</v>
      </c>
      <c r="K55" s="20"/>
      <c r="L55" s="89">
        <f>SUM(L4:L54)</f>
        <v>1063.092833</v>
      </c>
      <c r="M55" s="63"/>
      <c r="N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</row>
    <row r="58">
      <c r="A58" s="18"/>
      <c r="B58" s="74"/>
      <c r="C58" s="20"/>
      <c r="D58" s="75">
        <v>6.59</v>
      </c>
      <c r="E58" s="75"/>
      <c r="F58" s="75"/>
      <c r="G58" s="76">
        <f>SUM(D58,E58,F58)</f>
        <v>6.59</v>
      </c>
      <c r="H58" s="77">
        <f>AVERAGE(D58,E58,F58)</f>
        <v>6.59</v>
      </c>
      <c r="I58" s="72"/>
      <c r="J58" s="78">
        <v>4.0</v>
      </c>
      <c r="K58" s="79"/>
      <c r="L58" s="80">
        <f>H58*J58</f>
        <v>26.36</v>
      </c>
      <c r="M58" s="63"/>
      <c r="N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</row>
    <row r="60">
      <c r="A60" s="18"/>
      <c r="B60" s="74"/>
      <c r="C60" s="20"/>
      <c r="D60" s="75">
        <v>3.0</v>
      </c>
      <c r="E60" s="75">
        <v>2.85</v>
      </c>
      <c r="F60" s="84"/>
      <c r="G60" s="76">
        <f>SUM(D60,E60,F60)</f>
        <v>5.85</v>
      </c>
      <c r="H60" s="77">
        <f>AVERAGE(D60,E60,F60)</f>
        <v>2.925</v>
      </c>
      <c r="I60" s="72"/>
      <c r="J60" s="78">
        <v>15.0</v>
      </c>
      <c r="K60" s="79"/>
      <c r="L60" s="80">
        <f>H60*J60</f>
        <v>43.875</v>
      </c>
      <c r="M60" s="63"/>
      <c r="N60" s="63"/>
    </row>
    <row r="61">
      <c r="A61" s="68">
        <f>A59+1</f>
        <v>29</v>
      </c>
      <c r="B61" s="69" t="s">
        <v>100</v>
      </c>
      <c r="C61" s="12"/>
      <c r="D61" s="70" t="s">
        <v>146</v>
      </c>
      <c r="E61" s="70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</row>
    <row r="62">
      <c r="A62" s="18"/>
      <c r="B62" s="74"/>
      <c r="C62" s="20"/>
      <c r="D62" s="75">
        <v>4.3</v>
      </c>
      <c r="E62" s="75"/>
      <c r="F62" s="75"/>
      <c r="G62" s="76">
        <f>SUM(D62,E62,F62)</f>
        <v>4.3</v>
      </c>
      <c r="H62" s="77">
        <f>AVERAGE(D62,E62,F62)</f>
        <v>4.3</v>
      </c>
      <c r="I62" s="72"/>
      <c r="J62" s="78">
        <v>2.0</v>
      </c>
      <c r="K62" s="79"/>
      <c r="L62" s="80">
        <f>H62*J62</f>
        <v>8.6</v>
      </c>
      <c r="M62" s="63"/>
      <c r="N62" s="63"/>
    </row>
    <row r="63">
      <c r="A63" s="68">
        <f>A61+1</f>
        <v>30</v>
      </c>
      <c r="B63" s="69" t="s">
        <v>103</v>
      </c>
      <c r="C63" s="12"/>
      <c r="D63" s="70" t="s">
        <v>162</v>
      </c>
      <c r="E63" s="70" t="s">
        <v>104</v>
      </c>
      <c r="F63" s="83" t="s">
        <v>105</v>
      </c>
      <c r="G63" s="71"/>
      <c r="H63" s="71"/>
      <c r="I63" s="72"/>
      <c r="J63" s="81"/>
      <c r="K63" s="74"/>
      <c r="L63" s="82"/>
      <c r="M63" s="63"/>
      <c r="N63" s="63"/>
    </row>
    <row r="64">
      <c r="A64" s="18"/>
      <c r="B64" s="74"/>
      <c r="C64" s="20"/>
      <c r="D64" s="75">
        <v>2.89</v>
      </c>
      <c r="E64" s="75"/>
      <c r="F64" s="75"/>
      <c r="G64" s="76">
        <f>SUM(D64,E64,F64)</f>
        <v>2.89</v>
      </c>
      <c r="H64" s="77">
        <f>AVERAGE(D64,E64,F64)</f>
        <v>2.89</v>
      </c>
      <c r="I64" s="85"/>
      <c r="J64" s="78">
        <v>2.0</v>
      </c>
      <c r="K64" s="79"/>
      <c r="L64" s="80">
        <f>H64*J64</f>
        <v>5.78</v>
      </c>
      <c r="M64" s="63"/>
      <c r="N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16.705</v>
      </c>
      <c r="I65" s="85"/>
      <c r="J65" s="88" t="s">
        <v>6</v>
      </c>
      <c r="K65" s="20"/>
      <c r="L65" s="89">
        <f>SUM(L57:L64)</f>
        <v>84.615</v>
      </c>
      <c r="M65" s="63"/>
      <c r="N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</row>
    <row r="68">
      <c r="A68" s="18"/>
      <c r="B68" s="74"/>
      <c r="C68" s="20"/>
      <c r="D68" s="75">
        <v>5.3</v>
      </c>
      <c r="E68" s="75">
        <v>5.89</v>
      </c>
      <c r="F68" s="75"/>
      <c r="G68" s="76">
        <f>SUM(D68,E68,F68)</f>
        <v>11.19</v>
      </c>
      <c r="H68" s="77">
        <f>AVERAGE(D68,E68,F68)</f>
        <v>5.595</v>
      </c>
      <c r="I68" s="72"/>
      <c r="J68" s="78">
        <v>3.0</v>
      </c>
      <c r="K68" s="79"/>
      <c r="L68" s="80">
        <f>H68*J68</f>
        <v>16.785</v>
      </c>
      <c r="M68" s="63"/>
      <c r="N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</row>
    <row r="70">
      <c r="A70" s="18"/>
      <c r="B70" s="74"/>
      <c r="C70" s="20"/>
      <c r="D70" s="75">
        <v>4.39</v>
      </c>
      <c r="E70" s="75">
        <v>4.39</v>
      </c>
      <c r="F70" s="84"/>
      <c r="G70" s="76">
        <f>SUM(D70,E70,F70)</f>
        <v>8.78</v>
      </c>
      <c r="H70" s="77">
        <f>AVERAGE(D70,E70,F70)</f>
        <v>4.39</v>
      </c>
      <c r="I70" s="72"/>
      <c r="J70" s="78">
        <v>2.0</v>
      </c>
      <c r="K70" s="79"/>
      <c r="L70" s="80">
        <f>H70*J70</f>
        <v>8.78</v>
      </c>
      <c r="M70" s="63"/>
      <c r="N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</row>
    <row r="72">
      <c r="A72" s="18"/>
      <c r="B72" s="74"/>
      <c r="C72" s="20"/>
      <c r="D72" s="75">
        <v>2.89</v>
      </c>
      <c r="E72" s="104">
        <v>2.89</v>
      </c>
      <c r="F72" s="84"/>
      <c r="G72" s="76">
        <f>SUM(D72,E72,F72)</f>
        <v>5.78</v>
      </c>
      <c r="H72" s="77">
        <f>AVERAGE(D72,E72,F72)</f>
        <v>2.89</v>
      </c>
      <c r="I72" s="72"/>
      <c r="J72" s="78">
        <v>10.0</v>
      </c>
      <c r="K72" s="79"/>
      <c r="L72" s="80">
        <f>H72*J72</f>
        <v>28.9</v>
      </c>
      <c r="M72" s="63"/>
      <c r="N72" s="63"/>
    </row>
    <row r="73">
      <c r="A73" s="68">
        <f>A71+1</f>
        <v>34</v>
      </c>
      <c r="B73" s="69" t="s">
        <v>119</v>
      </c>
      <c r="C73" s="12"/>
      <c r="D73" s="83" t="s">
        <v>120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</row>
    <row r="74">
      <c r="A74" s="18"/>
      <c r="B74" s="74"/>
      <c r="C74" s="20"/>
      <c r="D74" s="75">
        <v>19.99</v>
      </c>
      <c r="E74" s="75"/>
      <c r="F74" s="84"/>
      <c r="G74" s="76">
        <f>SUM(D74,E74,F74)</f>
        <v>19.99</v>
      </c>
      <c r="H74" s="77">
        <f>AVERAGE(D74,E74,F74)</f>
        <v>19.99</v>
      </c>
      <c r="I74" s="72"/>
      <c r="J74" s="78">
        <v>2.0</v>
      </c>
      <c r="K74" s="79"/>
      <c r="L74" s="80">
        <f>H74*J74</f>
        <v>39.98</v>
      </c>
      <c r="M74" s="63"/>
      <c r="N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</row>
    <row r="76">
      <c r="A76" s="18"/>
      <c r="B76" s="74"/>
      <c r="C76" s="20"/>
      <c r="D76" s="75">
        <v>3.99</v>
      </c>
      <c r="E76" s="75"/>
      <c r="F76" s="84"/>
      <c r="G76" s="76">
        <f>SUM(D76,E76,F76)</f>
        <v>3.99</v>
      </c>
      <c r="H76" s="77">
        <f>AVERAGE(D76,E76,F76)</f>
        <v>3.99</v>
      </c>
      <c r="I76" s="85"/>
      <c r="J76" s="78">
        <v>1.0</v>
      </c>
      <c r="K76" s="79"/>
      <c r="L76" s="80">
        <f>H76*J76</f>
        <v>3.99</v>
      </c>
      <c r="M76" s="63"/>
      <c r="N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36.855</v>
      </c>
      <c r="I77" s="85"/>
      <c r="J77" s="88" t="s">
        <v>6</v>
      </c>
      <c r="K77" s="20"/>
      <c r="L77" s="89">
        <f>SUM(L68:L76)</f>
        <v>98.435</v>
      </c>
      <c r="M77" s="63"/>
      <c r="N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406.1983333</v>
      </c>
      <c r="I80" s="63"/>
      <c r="J80" s="72"/>
      <c r="K80" s="97" t="s">
        <v>6</v>
      </c>
      <c r="L80" s="89">
        <f>L55+L65+L77</f>
        <v>1246.142833</v>
      </c>
      <c r="M80" s="63"/>
      <c r="N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>
      <c r="A2" s="102" t="s">
        <v>170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>
      <c r="A4" s="18"/>
      <c r="B4" s="74"/>
      <c r="C4" s="20"/>
      <c r="D4" s="75">
        <v>27.0</v>
      </c>
      <c r="E4" s="75">
        <v>26.99</v>
      </c>
      <c r="F4" s="75"/>
      <c r="G4" s="76">
        <f>SUM(D4,E4,F4)</f>
        <v>53.99</v>
      </c>
      <c r="H4" s="77">
        <f>AVERAGE(D4,E4,F4)</f>
        <v>26.995</v>
      </c>
      <c r="I4" s="72"/>
      <c r="J4" s="78">
        <v>3.0</v>
      </c>
      <c r="K4" s="79" t="s">
        <v>11</v>
      </c>
      <c r="L4" s="80">
        <f>H4*J4</f>
        <v>80.985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</row>
    <row r="6">
      <c r="A6" s="18"/>
      <c r="B6" s="74"/>
      <c r="C6" s="20"/>
      <c r="D6" s="75">
        <v>5.3</v>
      </c>
      <c r="E6" s="75">
        <v>5.99</v>
      </c>
      <c r="F6" s="75"/>
      <c r="G6" s="76">
        <f>SUM(D6,E6,F6)</f>
        <v>11.29</v>
      </c>
      <c r="H6" s="77">
        <f>AVERAGE(D6,E6,F6)</f>
        <v>5.645</v>
      </c>
      <c r="I6" s="72"/>
      <c r="J6" s="78">
        <v>4.0</v>
      </c>
      <c r="K6" s="79"/>
      <c r="L6" s="80">
        <f>H6*J6</f>
        <v>22.58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</row>
    <row r="8">
      <c r="A8" s="18"/>
      <c r="B8" s="74"/>
      <c r="C8" s="20"/>
      <c r="D8" s="75">
        <v>17.99</v>
      </c>
      <c r="E8" s="75"/>
      <c r="F8" s="75"/>
      <c r="G8" s="76">
        <f>SUM(D8,E8,F8)</f>
        <v>17.99</v>
      </c>
      <c r="H8" s="77">
        <f>AVERAGE(D8,E8,F8)</f>
        <v>17.99</v>
      </c>
      <c r="I8" s="72"/>
      <c r="J8" s="78">
        <v>2.0</v>
      </c>
      <c r="K8" s="79"/>
      <c r="L8" s="80">
        <f>H8*J8</f>
        <v>35.98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130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</row>
    <row r="10">
      <c r="A10" s="18"/>
      <c r="B10" s="74"/>
      <c r="C10" s="20"/>
      <c r="D10" s="75">
        <v>29.99</v>
      </c>
      <c r="E10" s="75">
        <v>30.0</v>
      </c>
      <c r="F10" s="75"/>
      <c r="G10" s="76">
        <f>SUM(D10,E10,F10)</f>
        <v>59.99</v>
      </c>
      <c r="H10" s="77">
        <f>AVERAGE(D10,E10,F10)</f>
        <v>29.995</v>
      </c>
      <c r="I10" s="72"/>
      <c r="J10" s="78">
        <v>3.0</v>
      </c>
      <c r="K10" s="79"/>
      <c r="L10" s="80">
        <f>H10*J10</f>
        <v>89.985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</row>
    <row r="12">
      <c r="A12" s="18"/>
      <c r="B12" s="74"/>
      <c r="C12" s="20"/>
      <c r="D12" s="75">
        <v>5.69</v>
      </c>
      <c r="E12" s="75"/>
      <c r="F12" s="75"/>
      <c r="G12" s="76">
        <f>SUM(D12,E12,F12)</f>
        <v>5.69</v>
      </c>
      <c r="H12" s="77">
        <f>AVERAGE(D12,E12,F12)</f>
        <v>5.69</v>
      </c>
      <c r="I12" s="72"/>
      <c r="J12" s="78">
        <v>3.0</v>
      </c>
      <c r="K12" s="79"/>
      <c r="L12" s="80">
        <f>H12*J12</f>
        <v>17.07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>
      <c r="A14" s="18"/>
      <c r="B14" s="74"/>
      <c r="C14" s="20"/>
      <c r="D14" s="75"/>
      <c r="E14" s="75"/>
      <c r="F14" s="75">
        <v>7.99</v>
      </c>
      <c r="G14" s="76">
        <f>SUM(D14,E14,F14)</f>
        <v>7.99</v>
      </c>
      <c r="H14" s="77">
        <f>AVERAGE(D14,E14,F14)</f>
        <v>7.99</v>
      </c>
      <c r="I14" s="72"/>
      <c r="J14" s="78">
        <v>1.0</v>
      </c>
      <c r="K14" s="79"/>
      <c r="L14" s="80">
        <f>H14*J14</f>
        <v>7.99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>
      <c r="A15" s="68">
        <f>A13+1</f>
        <v>7</v>
      </c>
      <c r="B15" s="69" t="s">
        <v>31</v>
      </c>
      <c r="C15" s="12"/>
      <c r="D15" s="83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>
      <c r="A16" s="18"/>
      <c r="B16" s="74"/>
      <c r="C16" s="20"/>
      <c r="D16" s="75">
        <v>5.99</v>
      </c>
      <c r="E16" s="84"/>
      <c r="F16" s="84"/>
      <c r="G16" s="76">
        <f>SUM(D16,E16,F16)</f>
        <v>5.99</v>
      </c>
      <c r="H16" s="77">
        <f>AVERAGE(D16,E16,F16)</f>
        <v>5.99</v>
      </c>
      <c r="I16" s="72"/>
      <c r="J16" s="78">
        <v>4.0</v>
      </c>
      <c r="K16" s="79"/>
      <c r="L16" s="80">
        <f>H16*J16</f>
        <v>23.96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>
      <c r="A18" s="18"/>
      <c r="B18" s="74"/>
      <c r="C18" s="20"/>
      <c r="D18" s="75">
        <v>3.4</v>
      </c>
      <c r="E18" s="84"/>
      <c r="F18" s="84"/>
      <c r="G18" s="76">
        <f>SUM(D18,E18,F18)</f>
        <v>3.4</v>
      </c>
      <c r="H18" s="77">
        <f>AVERAGE(D18,E18,F18)</f>
        <v>3.4</v>
      </c>
      <c r="I18" s="72"/>
      <c r="J18" s="78">
        <v>1.0</v>
      </c>
      <c r="K18" s="79"/>
      <c r="L18" s="80">
        <f>H18*J18</f>
        <v>3.4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>
      <c r="A20" s="18"/>
      <c r="B20" s="74"/>
      <c r="C20" s="20"/>
      <c r="D20" s="75">
        <v>6.8</v>
      </c>
      <c r="E20" s="84"/>
      <c r="F20" s="84"/>
      <c r="G20" s="76">
        <f>SUM(D20,E20,F20)</f>
        <v>6.8</v>
      </c>
      <c r="H20" s="77">
        <f>AVERAGE(D20,E20,F20)</f>
        <v>6.8</v>
      </c>
      <c r="I20" s="72"/>
      <c r="J20" s="78">
        <v>9.0</v>
      </c>
      <c r="K20" s="79"/>
      <c r="L20" s="80">
        <f>H20*J20</f>
        <v>61.2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>
      <c r="A22" s="18"/>
      <c r="B22" s="74"/>
      <c r="C22" s="20"/>
      <c r="D22" s="75">
        <v>28.99</v>
      </c>
      <c r="E22" s="84"/>
      <c r="F22" s="84"/>
      <c r="G22" s="76">
        <f>SUM(D22,E22,F22)</f>
        <v>28.99</v>
      </c>
      <c r="H22" s="77">
        <f>AVERAGE(D22,E22,F22)</f>
        <v>28.99</v>
      </c>
      <c r="I22" s="72"/>
      <c r="J22" s="78">
        <v>0.2</v>
      </c>
      <c r="K22" s="79"/>
      <c r="L22" s="80">
        <f>H22*J22</f>
        <v>5.798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>
      <c r="A24" s="18"/>
      <c r="B24" s="74"/>
      <c r="C24" s="20"/>
      <c r="D24" s="75">
        <v>10.6</v>
      </c>
      <c r="E24" s="75"/>
      <c r="F24" s="84"/>
      <c r="G24" s="76">
        <f>SUM(D24,E24,F24)</f>
        <v>10.6</v>
      </c>
      <c r="H24" s="77">
        <f>AVERAGE(D24,E24,F24)</f>
        <v>10.6</v>
      </c>
      <c r="I24" s="72"/>
      <c r="J24" s="78">
        <v>3.0</v>
      </c>
      <c r="K24" s="79"/>
      <c r="L24" s="80">
        <f>H24*J24</f>
        <v>31.8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83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>
      <c r="A26" s="18"/>
      <c r="B26" s="74"/>
      <c r="C26" s="20"/>
      <c r="D26" s="75">
        <v>4.5</v>
      </c>
      <c r="E26" s="75">
        <v>5.15</v>
      </c>
      <c r="F26" s="75"/>
      <c r="G26" s="76">
        <f>SUM(D26,E26,F26)</f>
        <v>9.65</v>
      </c>
      <c r="H26" s="77">
        <f>AVERAGE(D26,E26,F26)</f>
        <v>4.825</v>
      </c>
      <c r="I26" s="72"/>
      <c r="J26" s="78">
        <v>4.0</v>
      </c>
      <c r="K26" s="79"/>
      <c r="L26" s="80">
        <f>H26*J26</f>
        <v>19.3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>
      <c r="A28" s="18"/>
      <c r="B28" s="74"/>
      <c r="C28" s="20"/>
      <c r="D28" s="75">
        <v>2.3</v>
      </c>
      <c r="E28" s="75">
        <v>1.99</v>
      </c>
      <c r="F28" s="75"/>
      <c r="G28" s="76">
        <f>SUM(D28,E28,F28)</f>
        <v>4.29</v>
      </c>
      <c r="H28" s="77">
        <f>AVERAGE(D28,E28,F28)</f>
        <v>2.145</v>
      </c>
      <c r="I28" s="72"/>
      <c r="J28" s="78">
        <v>2.0</v>
      </c>
      <c r="K28" s="79"/>
      <c r="L28" s="80">
        <f>H28*J28</f>
        <v>4.29</v>
      </c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>
      <c r="A30" s="18"/>
      <c r="B30" s="74"/>
      <c r="C30" s="20"/>
      <c r="D30" s="75">
        <v>13.0</v>
      </c>
      <c r="E30" s="84"/>
      <c r="F30" s="84"/>
      <c r="G30" s="76">
        <f>SUM(D30,E30,F30)</f>
        <v>13</v>
      </c>
      <c r="H30" s="77">
        <f>AVERAGE(D30,E30,F30)</f>
        <v>13</v>
      </c>
      <c r="I30" s="72"/>
      <c r="J30" s="78">
        <v>6.0</v>
      </c>
      <c r="K30" s="79"/>
      <c r="L30" s="80">
        <f>H30*J30</f>
        <v>78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>
      <c r="A32" s="18"/>
      <c r="B32" s="74"/>
      <c r="C32" s="20"/>
      <c r="D32" s="75">
        <v>3.99</v>
      </c>
      <c r="E32" s="75"/>
      <c r="F32" s="84"/>
      <c r="G32" s="76">
        <f>SUM(D32,E32,F32)</f>
        <v>3.99</v>
      </c>
      <c r="H32" s="77">
        <f>AVERAGE(D32,E32,F32)</f>
        <v>3.99</v>
      </c>
      <c r="I32" s="72"/>
      <c r="J32" s="78">
        <v>7.5</v>
      </c>
      <c r="K32" s="79"/>
      <c r="L32" s="80">
        <f>H32*J32</f>
        <v>29.925</v>
      </c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>
      <c r="A34" s="18"/>
      <c r="B34" s="74"/>
      <c r="C34" s="20"/>
      <c r="D34" s="75">
        <v>8.0</v>
      </c>
      <c r="E34" s="75"/>
      <c r="F34" s="75"/>
      <c r="G34" s="76">
        <f>SUM(D34,E34,F34)</f>
        <v>8</v>
      </c>
      <c r="H34" s="77">
        <f>AVERAGE(D34,E34,F34)</f>
        <v>8</v>
      </c>
      <c r="I34" s="72"/>
      <c r="J34" s="78">
        <v>5.0</v>
      </c>
      <c r="K34" s="79"/>
      <c r="L34" s="80">
        <f>H34*J34</f>
        <v>40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>
      <c r="A35" s="68">
        <f>A33+1</f>
        <v>17</v>
      </c>
      <c r="B35" s="69" t="s">
        <v>60</v>
      </c>
      <c r="C35" s="12"/>
      <c r="D35" s="83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>
      <c r="A36" s="18"/>
      <c r="B36" s="74"/>
      <c r="C36" s="20"/>
      <c r="D36" s="75">
        <v>5.15</v>
      </c>
      <c r="E36" s="75">
        <v>5.1</v>
      </c>
      <c r="F36" s="75"/>
      <c r="G36" s="76">
        <f>SUM(D36,E36,F36)</f>
        <v>10.25</v>
      </c>
      <c r="H36" s="77">
        <f>AVERAGE(D36,E36,F36)</f>
        <v>5.125</v>
      </c>
      <c r="I36" s="72"/>
      <c r="J36" s="78">
        <v>7.5</v>
      </c>
      <c r="K36" s="79"/>
      <c r="L36" s="80">
        <f>H36*J36</f>
        <v>38.4375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>
      <c r="A38" s="18"/>
      <c r="B38" s="74"/>
      <c r="C38" s="20"/>
      <c r="D38" s="75">
        <v>17.3</v>
      </c>
      <c r="E38" s="75">
        <v>22.89</v>
      </c>
      <c r="F38" s="75"/>
      <c r="G38" s="76">
        <f>SUM(D38,E38,F38)</f>
        <v>40.19</v>
      </c>
      <c r="H38" s="77">
        <f>AVERAGE(D38,E38,F38)</f>
        <v>20.095</v>
      </c>
      <c r="I38" s="72"/>
      <c r="J38" s="78">
        <v>3.0</v>
      </c>
      <c r="K38" s="79"/>
      <c r="L38" s="80">
        <f>H38*J38</f>
        <v>60.285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83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>
      <c r="A40" s="18"/>
      <c r="B40" s="74"/>
      <c r="C40" s="20"/>
      <c r="D40" s="75">
        <v>5.3</v>
      </c>
      <c r="E40" s="75">
        <v>5.99</v>
      </c>
      <c r="F40" s="75"/>
      <c r="G40" s="76">
        <f>SUM(D40,E40,F40)</f>
        <v>11.29</v>
      </c>
      <c r="H40" s="77">
        <f>AVERAGE(D40,E40,F40)</f>
        <v>5.645</v>
      </c>
      <c r="I40" s="72"/>
      <c r="J40" s="78">
        <v>4.0</v>
      </c>
      <c r="K40" s="79"/>
      <c r="L40" s="80">
        <f>H40*J40</f>
        <v>22.58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>
      <c r="A41" s="68">
        <f>A39+1</f>
        <v>20</v>
      </c>
      <c r="B41" s="69" t="s">
        <v>68</v>
      </c>
      <c r="C41" s="12"/>
      <c r="D41" s="83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>
      <c r="A42" s="18"/>
      <c r="B42" s="74"/>
      <c r="C42" s="20"/>
      <c r="D42" s="75"/>
      <c r="E42" s="75">
        <v>2.99</v>
      </c>
      <c r="F42" s="75">
        <v>3.69</v>
      </c>
      <c r="G42" s="76">
        <f>SUM(D42,E42,F42)</f>
        <v>6.68</v>
      </c>
      <c r="H42" s="77">
        <f>AVERAGE(D42,E42,F42)</f>
        <v>3.34</v>
      </c>
      <c r="I42" s="72"/>
      <c r="J42" s="78">
        <v>4.0</v>
      </c>
      <c r="K42" s="79"/>
      <c r="L42" s="80">
        <f>H42*J42</f>
        <v>13.36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>
      <c r="A44" s="18"/>
      <c r="B44" s="74"/>
      <c r="C44" s="20"/>
      <c r="D44" s="75">
        <v>42.99</v>
      </c>
      <c r="E44" s="75">
        <v>40.0</v>
      </c>
      <c r="F44" s="75"/>
      <c r="G44" s="76">
        <f>SUM(D44,E44,F44)</f>
        <v>82.99</v>
      </c>
      <c r="H44" s="77">
        <f>AVERAGE(D44,E44,F44)</f>
        <v>41.495</v>
      </c>
      <c r="I44" s="72"/>
      <c r="J44" s="78">
        <v>3.0</v>
      </c>
      <c r="K44" s="79"/>
      <c r="L44" s="80">
        <f>H44*J44</f>
        <v>124.485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>
      <c r="A46" s="18"/>
      <c r="B46" s="74"/>
      <c r="C46" s="20"/>
      <c r="D46" s="75">
        <v>37.99</v>
      </c>
      <c r="E46" s="75">
        <v>28.0</v>
      </c>
      <c r="F46" s="75"/>
      <c r="G46" s="76">
        <f>SUM(D46,E46,F46)</f>
        <v>65.99</v>
      </c>
      <c r="H46" s="77">
        <f>AVERAGE(D46,E46,F46)</f>
        <v>32.995</v>
      </c>
      <c r="I46" s="72"/>
      <c r="J46" s="78">
        <v>4.0</v>
      </c>
      <c r="K46" s="79"/>
      <c r="L46" s="80">
        <f>H46*J46</f>
        <v>131.98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</row>
    <row r="48">
      <c r="A48" s="18"/>
      <c r="B48" s="74"/>
      <c r="C48" s="20"/>
      <c r="D48" s="75">
        <v>9.8</v>
      </c>
      <c r="E48" s="75">
        <v>10.99</v>
      </c>
      <c r="F48" s="84"/>
      <c r="G48" s="76">
        <f>SUM(D48,E48,F48)</f>
        <v>20.79</v>
      </c>
      <c r="H48" s="77">
        <f>AVERAGE(D48,E48,F48)</f>
        <v>10.395</v>
      </c>
      <c r="I48" s="72"/>
      <c r="J48" s="78">
        <v>5.0</v>
      </c>
      <c r="K48" s="79"/>
      <c r="L48" s="80">
        <f>H48*J48</f>
        <v>51.975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</row>
    <row r="50">
      <c r="A50" s="18"/>
      <c r="B50" s="74"/>
      <c r="C50" s="20"/>
      <c r="D50" s="75">
        <v>9.6</v>
      </c>
      <c r="E50" s="75"/>
      <c r="F50" s="75"/>
      <c r="G50" s="76">
        <f>SUM(D50,E50,F50)</f>
        <v>9.6</v>
      </c>
      <c r="H50" s="77">
        <f>AVERAGE(D50,E50,F50)</f>
        <v>9.6</v>
      </c>
      <c r="I50" s="72"/>
      <c r="J50" s="78">
        <v>0.5</v>
      </c>
      <c r="K50" s="79"/>
      <c r="L50" s="80">
        <f>H50*J50</f>
        <v>4.8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</row>
    <row r="51">
      <c r="A51" s="68">
        <f>A49+1</f>
        <v>25</v>
      </c>
      <c r="B51" s="69" t="s">
        <v>86</v>
      </c>
      <c r="C51" s="12"/>
      <c r="D51" s="70" t="s">
        <v>84</v>
      </c>
      <c r="E51" s="70" t="s">
        <v>82</v>
      </c>
      <c r="F51" s="83" t="s">
        <v>141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</row>
    <row r="52">
      <c r="A52" s="18"/>
      <c r="B52" s="74"/>
      <c r="C52" s="20"/>
      <c r="D52" s="75">
        <v>18.0</v>
      </c>
      <c r="E52" s="75"/>
      <c r="F52" s="75"/>
      <c r="G52" s="76">
        <f>SUM(D52,E52,F52)</f>
        <v>18</v>
      </c>
      <c r="H52" s="77">
        <f>AVERAGE(D52,E52,F52)</f>
        <v>18</v>
      </c>
      <c r="I52" s="72"/>
      <c r="J52" s="78">
        <v>0.3</v>
      </c>
      <c r="K52" s="79"/>
      <c r="L52" s="80">
        <f>H52*J52</f>
        <v>5.4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</row>
    <row r="53">
      <c r="A53" s="68">
        <f>A51+1</f>
        <v>26</v>
      </c>
      <c r="B53" s="69" t="s">
        <v>88</v>
      </c>
      <c r="C53" s="12"/>
      <c r="D53" s="70" t="s">
        <v>171</v>
      </c>
      <c r="E53" s="83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</row>
    <row r="54">
      <c r="A54" s="18"/>
      <c r="B54" s="74"/>
      <c r="C54" s="20"/>
      <c r="D54" s="75">
        <v>36.0</v>
      </c>
      <c r="E54" s="75"/>
      <c r="F54" s="75"/>
      <c r="G54" s="76">
        <f>SUM(D54,E54,F54)</f>
        <v>36</v>
      </c>
      <c r="H54" s="77">
        <f>AVERAGE(D54,E54,F54)</f>
        <v>36</v>
      </c>
      <c r="I54" s="85"/>
      <c r="J54" s="78">
        <v>0.5</v>
      </c>
      <c r="K54" s="85"/>
      <c r="L54" s="80">
        <f>H54*J54</f>
        <v>18</v>
      </c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</row>
    <row r="55">
      <c r="A55" s="105" t="s">
        <v>106</v>
      </c>
      <c r="B55" s="74"/>
      <c r="C55" s="74"/>
      <c r="D55" s="74"/>
      <c r="E55" s="74"/>
      <c r="F55" s="74"/>
      <c r="G55" s="82"/>
      <c r="H55" s="87">
        <f>SUM(H4:H54)</f>
        <v>364.735</v>
      </c>
      <c r="I55" s="85"/>
      <c r="J55" s="88" t="s">
        <v>6</v>
      </c>
      <c r="K55" s="20"/>
      <c r="L55" s="89">
        <f>SUM(L4:L54)</f>
        <v>1023.5655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</row>
    <row r="58">
      <c r="A58" s="18"/>
      <c r="B58" s="74"/>
      <c r="C58" s="20"/>
      <c r="D58" s="75">
        <v>6.99</v>
      </c>
      <c r="E58" s="75">
        <v>7.1</v>
      </c>
      <c r="F58" s="75"/>
      <c r="G58" s="76">
        <f>SUM(D58,E58,F58)</f>
        <v>14.09</v>
      </c>
      <c r="H58" s="77">
        <f>AVERAGE(D58,E58,F58)</f>
        <v>7.045</v>
      </c>
      <c r="I58" s="72"/>
      <c r="J58" s="78">
        <v>4.0</v>
      </c>
      <c r="K58" s="79"/>
      <c r="L58" s="80">
        <f>H58*J58</f>
        <v>28.18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</row>
    <row r="60">
      <c r="A60" s="18"/>
      <c r="B60" s="74"/>
      <c r="C60" s="20"/>
      <c r="D60" s="75">
        <v>2.5</v>
      </c>
      <c r="E60" s="75">
        <v>2.5</v>
      </c>
      <c r="F60" s="84"/>
      <c r="G60" s="76">
        <f>SUM(D60,E60,F60)</f>
        <v>5</v>
      </c>
      <c r="H60" s="77">
        <f>AVERAGE(D60,E60,F60)</f>
        <v>2.5</v>
      </c>
      <c r="I60" s="72"/>
      <c r="J60" s="78">
        <v>15.0</v>
      </c>
      <c r="K60" s="79"/>
      <c r="L60" s="80">
        <f>H60*J60</f>
        <v>37.5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</row>
    <row r="61">
      <c r="A61" s="68">
        <f>A59+1</f>
        <v>29</v>
      </c>
      <c r="B61" s="69" t="s">
        <v>100</v>
      </c>
      <c r="C61" s="12"/>
      <c r="D61" s="70" t="s">
        <v>172</v>
      </c>
      <c r="E61" s="70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</row>
    <row r="62">
      <c r="A62" s="18"/>
      <c r="B62" s="74"/>
      <c r="C62" s="20"/>
      <c r="D62" s="75">
        <v>4.99</v>
      </c>
      <c r="E62" s="75"/>
      <c r="F62" s="75"/>
      <c r="G62" s="76">
        <f>SUM(D62,E62,F62)</f>
        <v>4.99</v>
      </c>
      <c r="H62" s="77">
        <f>AVERAGE(D62,E62,F62)</f>
        <v>4.99</v>
      </c>
      <c r="I62" s="72"/>
      <c r="J62" s="78">
        <v>2.0</v>
      </c>
      <c r="K62" s="79"/>
      <c r="L62" s="80">
        <f>H62*J62</f>
        <v>9.98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</row>
    <row r="63">
      <c r="A63" s="68">
        <f>A61+1</f>
        <v>30</v>
      </c>
      <c r="B63" s="69" t="s">
        <v>103</v>
      </c>
      <c r="C63" s="12"/>
      <c r="D63" s="83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</row>
    <row r="64">
      <c r="A64" s="18"/>
      <c r="B64" s="74"/>
      <c r="C64" s="20"/>
      <c r="D64" s="75">
        <v>2.99</v>
      </c>
      <c r="E64" s="75"/>
      <c r="F64" s="75"/>
      <c r="G64" s="76">
        <f>SUM(D64,E64,F64)</f>
        <v>2.99</v>
      </c>
      <c r="H64" s="77">
        <f>AVERAGE(D64,E64,F64)</f>
        <v>2.99</v>
      </c>
      <c r="I64" s="85"/>
      <c r="J64" s="78">
        <v>2.0</v>
      </c>
      <c r="K64" s="79"/>
      <c r="L64" s="80">
        <f>H64*J64</f>
        <v>5.98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17.525</v>
      </c>
      <c r="I65" s="85"/>
      <c r="J65" s="88" t="s">
        <v>6</v>
      </c>
      <c r="K65" s="20"/>
      <c r="L65" s="89">
        <f>SUM(L57:L64)</f>
        <v>81.64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</row>
    <row r="68">
      <c r="A68" s="18"/>
      <c r="B68" s="74"/>
      <c r="C68" s="20"/>
      <c r="D68" s="75">
        <v>4.19</v>
      </c>
      <c r="E68" s="75"/>
      <c r="F68" s="75"/>
      <c r="G68" s="76">
        <f>SUM(D68,E68,F68)</f>
        <v>4.19</v>
      </c>
      <c r="H68" s="77">
        <f>AVERAGE(D68,E68,F68)</f>
        <v>4.19</v>
      </c>
      <c r="I68" s="72"/>
      <c r="J68" s="78">
        <v>3.0</v>
      </c>
      <c r="K68" s="79"/>
      <c r="L68" s="80">
        <f>H68*J68</f>
        <v>12.57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</row>
    <row r="70">
      <c r="A70" s="18"/>
      <c r="B70" s="74"/>
      <c r="C70" s="20"/>
      <c r="D70" s="75">
        <v>4.49</v>
      </c>
      <c r="E70" s="75">
        <v>5.1</v>
      </c>
      <c r="F70" s="84"/>
      <c r="G70" s="76">
        <f>SUM(D70,E70,F70)</f>
        <v>9.59</v>
      </c>
      <c r="H70" s="77">
        <f>AVERAGE(D70,E70,F70)</f>
        <v>4.795</v>
      </c>
      <c r="I70" s="72"/>
      <c r="J70" s="78">
        <v>2.0</v>
      </c>
      <c r="K70" s="79"/>
      <c r="L70" s="80">
        <f>H70*J70</f>
        <v>9.59</v>
      </c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</row>
    <row r="72">
      <c r="A72" s="18"/>
      <c r="B72" s="74"/>
      <c r="C72" s="20"/>
      <c r="D72" s="75">
        <v>2.85</v>
      </c>
      <c r="E72" s="75"/>
      <c r="F72" s="84"/>
      <c r="G72" s="76">
        <f>SUM(D72,E72,F72)</f>
        <v>2.85</v>
      </c>
      <c r="H72" s="77">
        <f>AVERAGE(D72,E72,F72)</f>
        <v>2.85</v>
      </c>
      <c r="I72" s="72"/>
      <c r="J72" s="78">
        <v>10.0</v>
      </c>
      <c r="K72" s="79"/>
      <c r="L72" s="80">
        <f>H72*J72</f>
        <v>28.5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</row>
    <row r="73">
      <c r="A73" s="68">
        <f>A71+1</f>
        <v>34</v>
      </c>
      <c r="B73" s="69" t="s">
        <v>119</v>
      </c>
      <c r="C73" s="12"/>
      <c r="D73" s="83" t="s">
        <v>120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</row>
    <row r="74">
      <c r="A74" s="18"/>
      <c r="B74" s="74"/>
      <c r="C74" s="20"/>
      <c r="D74" s="75">
        <v>18.99</v>
      </c>
      <c r="E74" s="75"/>
      <c r="F74" s="84"/>
      <c r="G74" s="76">
        <f>SUM(D74,E74,F74)</f>
        <v>18.99</v>
      </c>
      <c r="H74" s="77">
        <f>AVERAGE(D74,E74,F74)</f>
        <v>18.99</v>
      </c>
      <c r="I74" s="72"/>
      <c r="J74" s="78">
        <v>2.0</v>
      </c>
      <c r="K74" s="79"/>
      <c r="L74" s="80">
        <f>H74*J74</f>
        <v>37.98</v>
      </c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</row>
    <row r="76">
      <c r="A76" s="18"/>
      <c r="B76" s="74"/>
      <c r="C76" s="20"/>
      <c r="D76" s="75">
        <v>4.29</v>
      </c>
      <c r="E76" s="75">
        <v>5.1</v>
      </c>
      <c r="F76" s="84"/>
      <c r="G76" s="76">
        <f>SUM(D76,E76,F76)</f>
        <v>9.39</v>
      </c>
      <c r="H76" s="77">
        <f>AVERAGE(D76,E76,F76)</f>
        <v>4.695</v>
      </c>
      <c r="I76" s="85"/>
      <c r="J76" s="78">
        <v>1.0</v>
      </c>
      <c r="K76" s="79"/>
      <c r="L76" s="80">
        <f>H76*J76</f>
        <v>4.695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35.52</v>
      </c>
      <c r="I77" s="85"/>
      <c r="J77" s="88" t="s">
        <v>6</v>
      </c>
      <c r="K77" s="20"/>
      <c r="L77" s="89">
        <f>SUM(L68:L76)</f>
        <v>93.335</v>
      </c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417.78</v>
      </c>
      <c r="I80" s="63"/>
      <c r="J80" s="72"/>
      <c r="K80" s="97" t="s">
        <v>6</v>
      </c>
      <c r="L80" s="89">
        <f>L55+L65+L77</f>
        <v>1198.5405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173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26.0</v>
      </c>
      <c r="E4" s="21">
        <v>26.8</v>
      </c>
      <c r="F4" s="21">
        <v>27.0</v>
      </c>
      <c r="G4" s="22">
        <f>SUM(D4,E4,F4)</f>
        <v>79.8</v>
      </c>
      <c r="H4" s="23">
        <f>AVERAGE(D4,E4,F4)</f>
        <v>26.6</v>
      </c>
      <c r="I4" s="16"/>
      <c r="J4" s="24">
        <v>3.0</v>
      </c>
      <c r="K4" s="25" t="s">
        <v>11</v>
      </c>
      <c r="L4" s="26">
        <f>H4*J4</f>
        <v>79.8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174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5.98</v>
      </c>
      <c r="E6" s="21">
        <v>5.98</v>
      </c>
      <c r="F6" s="21"/>
      <c r="G6" s="22">
        <f>SUM(D6,E6,F6)</f>
        <v>11.96</v>
      </c>
      <c r="H6" s="23">
        <f>AVERAGE(D6,E6,F6)</f>
        <v>5.98</v>
      </c>
      <c r="I6" s="16"/>
      <c r="J6" s="24">
        <v>4.0</v>
      </c>
      <c r="K6" s="25"/>
      <c r="L6" s="26">
        <f>H6*J6</f>
        <v>23.92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129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16.99</v>
      </c>
      <c r="E8" s="21"/>
      <c r="F8" s="21"/>
      <c r="G8" s="22">
        <f>SUM(D8,E8,F8)</f>
        <v>16.99</v>
      </c>
      <c r="H8" s="23">
        <f>AVERAGE(D8,E8,F8)</f>
        <v>16.99</v>
      </c>
      <c r="I8" s="16"/>
      <c r="J8" s="24">
        <v>2.0</v>
      </c>
      <c r="K8" s="25"/>
      <c r="L8" s="26">
        <f>H8*J8</f>
        <v>33.98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4" t="s">
        <v>130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29.99</v>
      </c>
      <c r="E10" s="21"/>
      <c r="F10" s="21"/>
      <c r="G10" s="22">
        <f>SUM(D10,E10,F10)</f>
        <v>29.99</v>
      </c>
      <c r="H10" s="23">
        <f>AVERAGE(D10,E10,F10)</f>
        <v>29.99</v>
      </c>
      <c r="I10" s="16"/>
      <c r="J10" s="24">
        <v>3.0</v>
      </c>
      <c r="K10" s="25"/>
      <c r="L10" s="26">
        <f>H10*J10</f>
        <v>89.97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4" t="s">
        <v>24</v>
      </c>
      <c r="E11" s="34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5.15</v>
      </c>
      <c r="E12" s="21">
        <v>5.48</v>
      </c>
      <c r="F12" s="21">
        <v>6.0</v>
      </c>
      <c r="G12" s="22">
        <f>SUM(D12,E12,F12)</f>
        <v>16.63</v>
      </c>
      <c r="H12" s="23">
        <f>AVERAGE(D12,E12,F12)</f>
        <v>5.543333333</v>
      </c>
      <c r="I12" s="16"/>
      <c r="J12" s="24">
        <v>3.0</v>
      </c>
      <c r="K12" s="25"/>
      <c r="L12" s="26">
        <f>H12*J12</f>
        <v>16.63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4" t="s">
        <v>175</v>
      </c>
      <c r="E13" s="34" t="s">
        <v>154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>
        <v>5.49</v>
      </c>
      <c r="E14" s="21">
        <v>6.68</v>
      </c>
      <c r="F14" s="21">
        <v>8.99</v>
      </c>
      <c r="G14" s="22">
        <f>SUM(D14,E14,F14)</f>
        <v>21.16</v>
      </c>
      <c r="H14" s="23">
        <f>AVERAGE(D14,E14,F14)</f>
        <v>7.053333333</v>
      </c>
      <c r="I14" s="16"/>
      <c r="J14" s="24">
        <v>1.0</v>
      </c>
      <c r="K14" s="25"/>
      <c r="L14" s="26">
        <f>H14*J14</f>
        <v>7.053333333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5.8</v>
      </c>
      <c r="E16" s="35"/>
      <c r="F16" s="35"/>
      <c r="G16" s="22">
        <f>SUM(D16,E16,F16)</f>
        <v>5.8</v>
      </c>
      <c r="H16" s="23">
        <f>AVERAGE(D16,E16,F16)</f>
        <v>5.8</v>
      </c>
      <c r="I16" s="16"/>
      <c r="J16" s="24">
        <v>4.0</v>
      </c>
      <c r="K16" s="25"/>
      <c r="L16" s="26">
        <f>H16*J16</f>
        <v>23.2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2.99</v>
      </c>
      <c r="E18" s="35"/>
      <c r="F18" s="35"/>
      <c r="G18" s="22">
        <f>SUM(D18,E18,F18)</f>
        <v>2.99</v>
      </c>
      <c r="H18" s="23">
        <f>AVERAGE(D18,E18,F18)</f>
        <v>2.99</v>
      </c>
      <c r="I18" s="16"/>
      <c r="J18" s="24">
        <v>1.0</v>
      </c>
      <c r="K18" s="25"/>
      <c r="L18" s="26">
        <f>H18*J18</f>
        <v>2.99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5.99</v>
      </c>
      <c r="E20" s="35"/>
      <c r="F20" s="35"/>
      <c r="G20" s="22">
        <f>SUM(D20,E20,F20)</f>
        <v>5.99</v>
      </c>
      <c r="H20" s="23">
        <f>AVERAGE(D20,E20,F20)</f>
        <v>5.99</v>
      </c>
      <c r="I20" s="16"/>
      <c r="J20" s="24">
        <v>9.0</v>
      </c>
      <c r="K20" s="25"/>
      <c r="L20" s="26">
        <f>H20*J20</f>
        <v>53.91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4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32.0</v>
      </c>
      <c r="E22" s="35"/>
      <c r="F22" s="35"/>
      <c r="G22" s="22">
        <f>SUM(D22,E22,F22)</f>
        <v>32</v>
      </c>
      <c r="H22" s="23">
        <f>AVERAGE(D22,E22,F22)</f>
        <v>32</v>
      </c>
      <c r="I22" s="16"/>
      <c r="J22" s="24">
        <v>0.2</v>
      </c>
      <c r="K22" s="25"/>
      <c r="L22" s="26">
        <f>H22*J22</f>
        <v>6.4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10.89</v>
      </c>
      <c r="E24" s="21"/>
      <c r="F24" s="35"/>
      <c r="G24" s="22">
        <f>SUM(D24,E24,F24)</f>
        <v>10.89</v>
      </c>
      <c r="H24" s="23">
        <f>AVERAGE(D24,E24,F24)</f>
        <v>10.89</v>
      </c>
      <c r="I24" s="4"/>
      <c r="J24" s="24">
        <v>3.0</v>
      </c>
      <c r="K24" s="25"/>
      <c r="L24" s="26">
        <f>H24*J24</f>
        <v>32.67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5.38</v>
      </c>
      <c r="E26" s="21">
        <v>5.15</v>
      </c>
      <c r="F26" s="21"/>
      <c r="G26" s="22">
        <f>SUM(D26,E26,F26)</f>
        <v>10.53</v>
      </c>
      <c r="H26" s="23">
        <f>AVERAGE(D26,E26,F26)</f>
        <v>5.265</v>
      </c>
      <c r="I26" s="4"/>
      <c r="J26" s="24">
        <v>4.0</v>
      </c>
      <c r="K26" s="25"/>
      <c r="L26" s="26">
        <f>H26*J26</f>
        <v>21.06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176</v>
      </c>
      <c r="C27" s="29"/>
      <c r="D27" s="34" t="s">
        <v>177</v>
      </c>
      <c r="E27" s="34" t="s">
        <v>49</v>
      </c>
      <c r="F27" s="13" t="s">
        <v>178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1.8</v>
      </c>
      <c r="E28" s="21"/>
      <c r="F28" s="21">
        <v>1.99</v>
      </c>
      <c r="G28" s="22">
        <f>SUM(D28,E28,F28)</f>
        <v>3.79</v>
      </c>
      <c r="H28" s="23">
        <f>AVERAGE(D28,E28,F28)</f>
        <v>1.895</v>
      </c>
      <c r="I28" s="4"/>
      <c r="J28" s="24">
        <v>2.0</v>
      </c>
      <c r="K28" s="25"/>
      <c r="L28" s="26">
        <f>H28*J28</f>
        <v>3.79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12.99</v>
      </c>
      <c r="E30" s="35"/>
      <c r="F30" s="35"/>
      <c r="G30" s="22">
        <f>SUM(D30,E30,F30)</f>
        <v>12.99</v>
      </c>
      <c r="H30" s="23">
        <f>AVERAGE(D30,E30,F30)</f>
        <v>12.99</v>
      </c>
      <c r="I30" s="4"/>
      <c r="J30" s="24">
        <v>6.0</v>
      </c>
      <c r="K30" s="25"/>
      <c r="L30" s="26">
        <f>H30*J30</f>
        <v>77.94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4.8</v>
      </c>
      <c r="E32" s="21"/>
      <c r="F32" s="35"/>
      <c r="G32" s="22">
        <f>SUM(D32,E32,F32)</f>
        <v>4.8</v>
      </c>
      <c r="H32" s="23">
        <f>AVERAGE(D32,E32,F32)</f>
        <v>4.8</v>
      </c>
      <c r="I32" s="4"/>
      <c r="J32" s="24">
        <v>7.5</v>
      </c>
      <c r="K32" s="25"/>
      <c r="L32" s="26">
        <f>H32*J32</f>
        <v>36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0" t="s">
        <v>134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7.3</v>
      </c>
      <c r="E34" s="35"/>
      <c r="F34" s="35"/>
      <c r="G34" s="22">
        <f>SUM(D34,E34,F34)</f>
        <v>7.3</v>
      </c>
      <c r="H34" s="23">
        <f>AVERAGE(D34,E34,F34)</f>
        <v>7.3</v>
      </c>
      <c r="I34" s="4"/>
      <c r="J34" s="24">
        <v>5.0</v>
      </c>
      <c r="K34" s="25"/>
      <c r="L34" s="26">
        <f>H34*J34</f>
        <v>36.5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3" t="s">
        <v>65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5.15</v>
      </c>
      <c r="E36" s="21"/>
      <c r="F36" s="21">
        <v>5.3</v>
      </c>
      <c r="G36" s="22">
        <f>SUM(D36,E36,F36)</f>
        <v>10.45</v>
      </c>
      <c r="H36" s="23">
        <f>AVERAGE(D36,E36,F36)</f>
        <v>5.225</v>
      </c>
      <c r="I36" s="4"/>
      <c r="J36" s="24">
        <v>7.5</v>
      </c>
      <c r="K36" s="25"/>
      <c r="L36" s="26">
        <f>H36*J36</f>
        <v>39.1875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179</v>
      </c>
      <c r="C37" s="29"/>
      <c r="D37" s="34" t="s">
        <v>61</v>
      </c>
      <c r="E37" s="30" t="s">
        <v>135</v>
      </c>
      <c r="F37" s="13" t="s">
        <v>180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19.9</v>
      </c>
      <c r="E38" s="21">
        <v>17.99</v>
      </c>
      <c r="F38" s="21"/>
      <c r="G38" s="22">
        <f>SUM(D38,E38,F38)</f>
        <v>37.89</v>
      </c>
      <c r="H38" s="23">
        <f>AVERAGE(D38,E38,F38)</f>
        <v>18.945</v>
      </c>
      <c r="I38" s="4"/>
      <c r="J38" s="24">
        <v>3.0</v>
      </c>
      <c r="K38" s="25"/>
      <c r="L38" s="26">
        <f>H38*J38</f>
        <v>56.835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0" t="s">
        <v>136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4.8</v>
      </c>
      <c r="E40" s="21">
        <v>4.38</v>
      </c>
      <c r="F40" s="21"/>
      <c r="G40" s="22">
        <f>SUM(D40,E40,F40)</f>
        <v>9.18</v>
      </c>
      <c r="H40" s="23">
        <f>AVERAGE(D40,E40,F40)</f>
        <v>4.59</v>
      </c>
      <c r="I40" s="4"/>
      <c r="J40" s="24">
        <v>4.0</v>
      </c>
      <c r="K40" s="25"/>
      <c r="L40" s="26">
        <f>H40*J40</f>
        <v>18.36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>
        <v>3.0</v>
      </c>
      <c r="F42" s="21">
        <v>3.29</v>
      </c>
      <c r="G42" s="22">
        <f>SUM(D42,E42,F42)</f>
        <v>6.29</v>
      </c>
      <c r="H42" s="23">
        <f>AVERAGE(D42,E42,F42)</f>
        <v>3.145</v>
      </c>
      <c r="I42" s="4"/>
      <c r="J42" s="24">
        <v>4.0</v>
      </c>
      <c r="K42" s="25"/>
      <c r="L42" s="26">
        <f>H42*J42</f>
        <v>12.58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4" t="s">
        <v>138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41.9</v>
      </c>
      <c r="E44" s="21">
        <v>40.0</v>
      </c>
      <c r="F44" s="21"/>
      <c r="G44" s="22">
        <f>SUM(D44,E44,F44)</f>
        <v>81.9</v>
      </c>
      <c r="H44" s="23">
        <f>AVERAGE(D44,E44,F44)</f>
        <v>40.95</v>
      </c>
      <c r="I44" s="4"/>
      <c r="J44" s="24">
        <v>3.0</v>
      </c>
      <c r="K44" s="25"/>
      <c r="L44" s="26">
        <f>H44*J44</f>
        <v>122.85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4" t="s">
        <v>139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37.0</v>
      </c>
      <c r="E46" s="21">
        <v>26.99</v>
      </c>
      <c r="F46" s="35"/>
      <c r="G46" s="22">
        <f>SUM(D46,E46,F46)</f>
        <v>63.99</v>
      </c>
      <c r="H46" s="23">
        <f>AVERAGE(D46,E46,F46)</f>
        <v>31.995</v>
      </c>
      <c r="I46" s="4"/>
      <c r="J46" s="24">
        <v>4.0</v>
      </c>
      <c r="K46" s="25"/>
      <c r="L46" s="26">
        <f>H46*J46</f>
        <v>127.98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0" t="s">
        <v>84</v>
      </c>
      <c r="E47" s="30" t="s">
        <v>82</v>
      </c>
      <c r="F47" s="13" t="s">
        <v>181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10.3</v>
      </c>
      <c r="E48" s="35"/>
      <c r="F48" s="21"/>
      <c r="G48" s="22">
        <f>SUM(D48,E48,F48)</f>
        <v>10.3</v>
      </c>
      <c r="H48" s="23">
        <f>AVERAGE(D48,E48,F48)</f>
        <v>10.3</v>
      </c>
      <c r="I48" s="4"/>
      <c r="J48" s="24">
        <v>5.0</v>
      </c>
      <c r="K48" s="25"/>
      <c r="L48" s="26">
        <f>H48*J48</f>
        <v>51.5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4" t="s">
        <v>182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9.99</v>
      </c>
      <c r="E50" s="21"/>
      <c r="F50" s="21"/>
      <c r="G50" s="22">
        <f>SUM(D50,E50,F50)</f>
        <v>9.99</v>
      </c>
      <c r="H50" s="23">
        <f>AVERAGE(D50,E50,F50)</f>
        <v>9.99</v>
      </c>
      <c r="I50" s="4"/>
      <c r="J50" s="24">
        <v>0.5</v>
      </c>
      <c r="K50" s="25"/>
      <c r="L50" s="26">
        <f>H50*J50</f>
        <v>4.995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4" t="s">
        <v>183</v>
      </c>
      <c r="E51" s="30" t="s">
        <v>82</v>
      </c>
      <c r="F51" s="13" t="s">
        <v>184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16.99</v>
      </c>
      <c r="E52" s="35"/>
      <c r="F52" s="21"/>
      <c r="G52" s="22">
        <f>SUM(D52,E52,F52)</f>
        <v>16.99</v>
      </c>
      <c r="H52" s="23">
        <f>AVERAGE(D52,E52,F52)</f>
        <v>16.99</v>
      </c>
      <c r="I52" s="4"/>
      <c r="J52" s="24">
        <v>0.3</v>
      </c>
      <c r="K52" s="25"/>
      <c r="L52" s="26">
        <f>H52*J52</f>
        <v>5.097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4" t="s">
        <v>142</v>
      </c>
      <c r="E53" s="34" t="s">
        <v>185</v>
      </c>
      <c r="F53" s="14" t="s">
        <v>143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36.9</v>
      </c>
      <c r="E54" s="21">
        <v>37.99</v>
      </c>
      <c r="F54" s="21"/>
      <c r="G54" s="22">
        <f>SUM(D54,E54,F54)</f>
        <v>74.89</v>
      </c>
      <c r="H54" s="23">
        <f>AVERAGE(D54,E54,F54)</f>
        <v>37.445</v>
      </c>
      <c r="I54" s="4"/>
      <c r="J54" s="37">
        <v>0.5</v>
      </c>
      <c r="K54" s="38"/>
      <c r="L54" s="26">
        <f>H54*J54</f>
        <v>18.7225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361.6516667</v>
      </c>
      <c r="I55" s="42"/>
      <c r="J55" s="43" t="s">
        <v>6</v>
      </c>
      <c r="K55" s="40"/>
      <c r="L55" s="44">
        <f>SUM(L4:L54)</f>
        <v>1003.920333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186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6.5</v>
      </c>
      <c r="E58" s="21"/>
      <c r="F58" s="21"/>
      <c r="G58" s="22">
        <f>SUM(D58,E58,F58)</f>
        <v>6.5</v>
      </c>
      <c r="H58" s="23">
        <f>AVERAGE(D58,E58,F58)</f>
        <v>6.5</v>
      </c>
      <c r="I58" s="4"/>
      <c r="J58" s="24">
        <v>4.0</v>
      </c>
      <c r="K58" s="25"/>
      <c r="L58" s="26">
        <f>H58*J58</f>
        <v>26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4" t="s">
        <v>187</v>
      </c>
      <c r="E59" s="34" t="s">
        <v>188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2.89</v>
      </c>
      <c r="E60" s="21">
        <v>2.99</v>
      </c>
      <c r="F60" s="35"/>
      <c r="G60" s="22">
        <f>SUM(D60,E60,F60)</f>
        <v>5.88</v>
      </c>
      <c r="H60" s="23">
        <f>AVERAGE(D60,E60,F60)</f>
        <v>2.94</v>
      </c>
      <c r="I60" s="4"/>
      <c r="J60" s="24">
        <v>15.0</v>
      </c>
      <c r="K60" s="25"/>
      <c r="L60" s="26">
        <f>H60*J60</f>
        <v>44.1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4" t="s">
        <v>99</v>
      </c>
      <c r="E61" s="34" t="s">
        <v>147</v>
      </c>
      <c r="F61" s="13" t="s">
        <v>148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4.99</v>
      </c>
      <c r="E62" s="21"/>
      <c r="F62" s="21"/>
      <c r="G62" s="22">
        <f>SUM(D62,E62,F62)</f>
        <v>4.99</v>
      </c>
      <c r="H62" s="23">
        <f>AVERAGE(D62,E62,F62)</f>
        <v>4.99</v>
      </c>
      <c r="I62" s="4"/>
      <c r="J62" s="24">
        <v>2.0</v>
      </c>
      <c r="K62" s="25"/>
      <c r="L62" s="26">
        <f>H62*J62</f>
        <v>9.98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4" t="s">
        <v>189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2.89</v>
      </c>
      <c r="E64" s="21">
        <v>2.89</v>
      </c>
      <c r="F64" s="21"/>
      <c r="G64" s="22">
        <f>SUM(D64,E64,F64)</f>
        <v>5.78</v>
      </c>
      <c r="H64" s="23">
        <f>AVERAGE(D64,E64,F64)</f>
        <v>2.89</v>
      </c>
      <c r="I64" s="4"/>
      <c r="J64" s="24">
        <v>2.0</v>
      </c>
      <c r="K64" s="25"/>
      <c r="L64" s="26">
        <f>H64*J64</f>
        <v>5.78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17.32</v>
      </c>
      <c r="I65" s="42"/>
      <c r="J65" s="43" t="s">
        <v>6</v>
      </c>
      <c r="K65" s="40"/>
      <c r="L65" s="44">
        <f>SUM(L57:L64)</f>
        <v>85.86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190</v>
      </c>
      <c r="F67" s="14" t="s">
        <v>150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5.1</v>
      </c>
      <c r="E68" s="21"/>
      <c r="F68" s="21"/>
      <c r="G68" s="22">
        <f>SUM(D68,E68,F68)</f>
        <v>5.1</v>
      </c>
      <c r="H68" s="23">
        <f>AVERAGE(D68,E68,F68)</f>
        <v>5.1</v>
      </c>
      <c r="I68" s="4"/>
      <c r="J68" s="24">
        <v>3.0</v>
      </c>
      <c r="K68" s="25"/>
      <c r="L68" s="26">
        <f>H68*J68</f>
        <v>15.3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3" t="s">
        <v>191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5.3</v>
      </c>
      <c r="E70" s="21"/>
      <c r="F70" s="21"/>
      <c r="G70" s="22">
        <f>SUM(D70,E70,F70)</f>
        <v>5.3</v>
      </c>
      <c r="H70" s="23">
        <f>AVERAGE(D70,E70,F70)</f>
        <v>5.3</v>
      </c>
      <c r="I70" s="4"/>
      <c r="J70" s="24">
        <v>2.0</v>
      </c>
      <c r="K70" s="25"/>
      <c r="L70" s="26">
        <f>H70*J70</f>
        <v>10.6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4" t="s">
        <v>117</v>
      </c>
      <c r="F71" s="13" t="s">
        <v>192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2.5</v>
      </c>
      <c r="E72" s="21">
        <v>2.5</v>
      </c>
      <c r="F72" s="21"/>
      <c r="G72" s="22">
        <f>SUM(D72,E72,F72)</f>
        <v>5</v>
      </c>
      <c r="H72" s="23">
        <f>AVERAGE(D72,E72,F72)</f>
        <v>2.5</v>
      </c>
      <c r="I72" s="4"/>
      <c r="J72" s="24">
        <v>10.0</v>
      </c>
      <c r="K72" s="25"/>
      <c r="L72" s="26">
        <f>H72*J72</f>
        <v>25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193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16.99</v>
      </c>
      <c r="E74" s="21">
        <v>14.9</v>
      </c>
      <c r="F74" s="35"/>
      <c r="G74" s="22">
        <f>SUM(D74,E74,F74)</f>
        <v>31.89</v>
      </c>
      <c r="H74" s="23">
        <f>AVERAGE(D74,E74,F74)</f>
        <v>15.945</v>
      </c>
      <c r="I74" s="4"/>
      <c r="J74" s="24">
        <v>2.0</v>
      </c>
      <c r="K74" s="25"/>
      <c r="L74" s="26">
        <f>H74*J74</f>
        <v>31.89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4" t="s">
        <v>194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6.0</v>
      </c>
      <c r="E76" s="21"/>
      <c r="F76" s="35"/>
      <c r="G76" s="22">
        <f>SUM(D76,E76,F76)</f>
        <v>6</v>
      </c>
      <c r="H76" s="23">
        <f>AVERAGE(D76,E76,F76)</f>
        <v>6</v>
      </c>
      <c r="I76" s="4"/>
      <c r="J76" s="24">
        <v>1.0</v>
      </c>
      <c r="K76" s="25"/>
      <c r="L76" s="26">
        <f>H76*J76</f>
        <v>6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34.845</v>
      </c>
      <c r="I77" s="42"/>
      <c r="J77" s="43" t="s">
        <v>6</v>
      </c>
      <c r="K77" s="40"/>
      <c r="L77" s="49">
        <f>SUM(L68:L76)</f>
        <v>88.79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413.8166667</v>
      </c>
      <c r="I80" s="4"/>
      <c r="J80" s="4"/>
      <c r="K80" s="54" t="s">
        <v>6</v>
      </c>
      <c r="L80" s="49">
        <f>L55+L65+L77</f>
        <v>1178.570333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195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3" t="s">
        <v>3</v>
      </c>
      <c r="E3" s="14" t="s">
        <v>4</v>
      </c>
      <c r="F3" s="13" t="s">
        <v>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22.9</v>
      </c>
      <c r="E4" s="21">
        <v>22.99</v>
      </c>
      <c r="F4" s="21">
        <v>23.69</v>
      </c>
      <c r="G4" s="22">
        <f>SUM(D4,E4,F4)</f>
        <v>69.58</v>
      </c>
      <c r="H4" s="23">
        <f>AVERAGE(D4,E4,F4)</f>
        <v>23.19333333</v>
      </c>
      <c r="I4" s="16"/>
      <c r="J4" s="24">
        <v>3.0</v>
      </c>
      <c r="K4" s="25" t="s">
        <v>11</v>
      </c>
      <c r="L4" s="26">
        <f>H4*J4</f>
        <v>69.58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14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5.48</v>
      </c>
      <c r="E6" s="21">
        <v>5.3</v>
      </c>
      <c r="F6" s="21"/>
      <c r="G6" s="22">
        <f>SUM(D6,E6,F6)</f>
        <v>10.78</v>
      </c>
      <c r="H6" s="23">
        <f>AVERAGE(D6,E6,F6)</f>
        <v>5.39</v>
      </c>
      <c r="I6" s="16"/>
      <c r="J6" s="24">
        <v>4.0</v>
      </c>
      <c r="K6" s="25"/>
      <c r="L6" s="26">
        <f>H6*J6</f>
        <v>21.56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17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15.99</v>
      </c>
      <c r="E8" s="21">
        <v>16.3</v>
      </c>
      <c r="F8" s="35"/>
      <c r="G8" s="22">
        <f>SUM(D8,E8,F8)</f>
        <v>32.29</v>
      </c>
      <c r="H8" s="23">
        <f>AVERAGE(D8,E8,F8)</f>
        <v>16.145</v>
      </c>
      <c r="I8" s="16"/>
      <c r="J8" s="24">
        <v>2.0</v>
      </c>
      <c r="K8" s="25"/>
      <c r="L8" s="26">
        <f>H8*J8</f>
        <v>32.29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4" t="s">
        <v>21</v>
      </c>
      <c r="F9" s="13" t="s">
        <v>196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28.9</v>
      </c>
      <c r="E10" s="21">
        <v>28.99</v>
      </c>
      <c r="F10" s="21"/>
      <c r="G10" s="22">
        <f>SUM(D10,E10,F10)</f>
        <v>57.89</v>
      </c>
      <c r="H10" s="23">
        <f>AVERAGE(D10,E10,F10)</f>
        <v>28.945</v>
      </c>
      <c r="I10" s="16"/>
      <c r="J10" s="24">
        <v>3.0</v>
      </c>
      <c r="K10" s="25"/>
      <c r="L10" s="26">
        <f>H10*J10</f>
        <v>86.835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4.48</v>
      </c>
      <c r="E12" s="21"/>
      <c r="F12" s="21"/>
      <c r="G12" s="22">
        <f>SUM(D12,E12,F12)</f>
        <v>4.48</v>
      </c>
      <c r="H12" s="23">
        <f>AVERAGE(D12,E12,F12)</f>
        <v>4.48</v>
      </c>
      <c r="I12" s="16"/>
      <c r="J12" s="24">
        <v>3.0</v>
      </c>
      <c r="K12" s="25"/>
      <c r="L12" s="26">
        <f>H12*J12</f>
        <v>13.44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4" t="s">
        <v>29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>
        <v>5.1</v>
      </c>
      <c r="F14" s="21">
        <v>6.99</v>
      </c>
      <c r="G14" s="22">
        <f>SUM(D14,E14,F14)</f>
        <v>12.09</v>
      </c>
      <c r="H14" s="23">
        <f>AVERAGE(D14,E14,F14)</f>
        <v>6.045</v>
      </c>
      <c r="I14" s="16"/>
      <c r="J14" s="24">
        <v>1.0</v>
      </c>
      <c r="K14" s="25"/>
      <c r="L14" s="26">
        <f>H14*J14</f>
        <v>6.045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2.99</v>
      </c>
      <c r="E16" s="35"/>
      <c r="F16" s="35"/>
      <c r="G16" s="22">
        <f>SUM(D16,E16,F16)</f>
        <v>2.99</v>
      </c>
      <c r="H16" s="23">
        <f>AVERAGE(D16,E16,F16)</f>
        <v>2.99</v>
      </c>
      <c r="I16" s="16"/>
      <c r="J16" s="24">
        <v>4.0</v>
      </c>
      <c r="K16" s="25"/>
      <c r="L16" s="26">
        <f>H16*J16</f>
        <v>11.96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1.89</v>
      </c>
      <c r="E18" s="35"/>
      <c r="F18" s="35"/>
      <c r="G18" s="22">
        <f>SUM(D18,E18,F18)</f>
        <v>1.89</v>
      </c>
      <c r="H18" s="23">
        <f>AVERAGE(D18,E18,F18)</f>
        <v>1.89</v>
      </c>
      <c r="I18" s="16"/>
      <c r="J18" s="24">
        <v>1.0</v>
      </c>
      <c r="K18" s="25"/>
      <c r="L18" s="26">
        <f>H18*J18</f>
        <v>1.89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3.99</v>
      </c>
      <c r="E20" s="35"/>
      <c r="F20" s="35"/>
      <c r="G20" s="22">
        <f>SUM(D20,E20,F20)</f>
        <v>3.99</v>
      </c>
      <c r="H20" s="23">
        <f>AVERAGE(D20,E20,F20)</f>
        <v>3.99</v>
      </c>
      <c r="I20" s="16"/>
      <c r="J20" s="24">
        <v>9.0</v>
      </c>
      <c r="K20" s="25"/>
      <c r="L20" s="26">
        <f>H20*J20</f>
        <v>35.91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21.3</v>
      </c>
      <c r="E22" s="35"/>
      <c r="F22" s="35"/>
      <c r="G22" s="22">
        <f>SUM(D22,E22,F22)</f>
        <v>21.3</v>
      </c>
      <c r="H22" s="23">
        <f>AVERAGE(D22,E22,F22)</f>
        <v>21.3</v>
      </c>
      <c r="I22" s="16"/>
      <c r="J22" s="24">
        <v>0.2</v>
      </c>
      <c r="K22" s="25"/>
      <c r="L22" s="26">
        <f>H22*J22</f>
        <v>4.26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4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9.7</v>
      </c>
      <c r="E24" s="21"/>
      <c r="F24" s="35"/>
      <c r="G24" s="22">
        <f>SUM(D24,E24,F24)</f>
        <v>9.7</v>
      </c>
      <c r="H24" s="23">
        <f>AVERAGE(D24,E24,F24)</f>
        <v>9.7</v>
      </c>
      <c r="I24" s="4"/>
      <c r="J24" s="24">
        <v>3.0</v>
      </c>
      <c r="K24" s="25"/>
      <c r="L24" s="26">
        <f>H24*J24</f>
        <v>29.1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4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4.78</v>
      </c>
      <c r="E26" s="21">
        <v>4.3</v>
      </c>
      <c r="F26" s="21"/>
      <c r="G26" s="22">
        <f>SUM(D26,E26,F26)</f>
        <v>9.08</v>
      </c>
      <c r="H26" s="23">
        <f>AVERAGE(D26,E26,F26)</f>
        <v>4.54</v>
      </c>
      <c r="I26" s="4"/>
      <c r="J26" s="24">
        <v>4.0</v>
      </c>
      <c r="K26" s="25"/>
      <c r="L26" s="26">
        <f>H26*J26</f>
        <v>18.16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35"/>
      <c r="E28" s="21">
        <v>1.99</v>
      </c>
      <c r="F28" s="21">
        <v>2.3</v>
      </c>
      <c r="G28" s="22">
        <f>SUM(D28,E28,F28)</f>
        <v>4.29</v>
      </c>
      <c r="H28" s="23">
        <f>AVERAGE(D28,E28,F28)</f>
        <v>2.145</v>
      </c>
      <c r="I28" s="4"/>
      <c r="J28" s="24">
        <v>2.0</v>
      </c>
      <c r="K28" s="25"/>
      <c r="L28" s="26">
        <f>H28*J28</f>
        <v>4.29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13.0</v>
      </c>
      <c r="E30" s="35"/>
      <c r="F30" s="35"/>
      <c r="G30" s="22">
        <f>SUM(D30,E30,F30)</f>
        <v>13</v>
      </c>
      <c r="H30" s="23">
        <f>AVERAGE(D30,E30,F30)</f>
        <v>13</v>
      </c>
      <c r="I30" s="4"/>
      <c r="J30" s="24">
        <v>6.0</v>
      </c>
      <c r="K30" s="25"/>
      <c r="L30" s="26">
        <f>H30*J30</f>
        <v>78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4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3.89</v>
      </c>
      <c r="E32" s="21"/>
      <c r="F32" s="35"/>
      <c r="G32" s="22">
        <f>SUM(D32,E32,F32)</f>
        <v>3.89</v>
      </c>
      <c r="H32" s="23">
        <f>AVERAGE(D32,E32,F32)</f>
        <v>3.89</v>
      </c>
      <c r="I32" s="4"/>
      <c r="J32" s="24">
        <v>7.5</v>
      </c>
      <c r="K32" s="25"/>
      <c r="L32" s="26">
        <f>H32*J32</f>
        <v>29.175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4" t="s">
        <v>57</v>
      </c>
      <c r="E33" s="34" t="s">
        <v>58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6.3</v>
      </c>
      <c r="E34" s="21"/>
      <c r="F34" s="35"/>
      <c r="G34" s="22">
        <f>SUM(D34,E34,F34)</f>
        <v>6.3</v>
      </c>
      <c r="H34" s="23">
        <f>AVERAGE(D34,E34,F34)</f>
        <v>6.3</v>
      </c>
      <c r="I34" s="4"/>
      <c r="J34" s="24">
        <v>5.0</v>
      </c>
      <c r="K34" s="25"/>
      <c r="L34" s="26">
        <f>H34*J34</f>
        <v>31.5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/>
      <c r="E36" s="21">
        <v>5.1</v>
      </c>
      <c r="F36" s="21"/>
      <c r="G36" s="22">
        <f>SUM(D36,E36,F36)</f>
        <v>5.1</v>
      </c>
      <c r="H36" s="23">
        <f>AVERAGE(D36,E36,F36)</f>
        <v>5.1</v>
      </c>
      <c r="I36" s="4"/>
      <c r="J36" s="24">
        <v>7.5</v>
      </c>
      <c r="K36" s="25"/>
      <c r="L36" s="26">
        <f>H36*J36</f>
        <v>38.25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28" t="s">
        <v>64</v>
      </c>
      <c r="C37" s="29"/>
      <c r="D37" s="30" t="s">
        <v>61</v>
      </c>
      <c r="E37" s="34" t="s">
        <v>65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15.29</v>
      </c>
      <c r="E38" s="21">
        <v>16.99</v>
      </c>
      <c r="F38" s="21"/>
      <c r="G38" s="22">
        <f>SUM(D38,E38,F38)</f>
        <v>32.28</v>
      </c>
      <c r="H38" s="23">
        <f>AVERAGE(D38,E38,F38)</f>
        <v>16.14</v>
      </c>
      <c r="I38" s="4"/>
      <c r="J38" s="24">
        <v>3.0</v>
      </c>
      <c r="K38" s="25"/>
      <c r="L38" s="26">
        <f>H38*J38</f>
        <v>48.42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4" t="s">
        <v>48</v>
      </c>
      <c r="E39" s="34" t="s">
        <v>67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3.99</v>
      </c>
      <c r="E40" s="21">
        <v>4.59</v>
      </c>
      <c r="F40" s="21"/>
      <c r="G40" s="22">
        <f>SUM(D40,E40,F40)</f>
        <v>8.58</v>
      </c>
      <c r="H40" s="23">
        <f>AVERAGE(D40,E40,F40)</f>
        <v>4.29</v>
      </c>
      <c r="I40" s="4"/>
      <c r="J40" s="24">
        <v>4.0</v>
      </c>
      <c r="K40" s="25"/>
      <c r="L40" s="26">
        <f>H40*J40</f>
        <v>17.16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2.9</v>
      </c>
      <c r="G42" s="22">
        <f>SUM(D42,E42,F42)</f>
        <v>2.9</v>
      </c>
      <c r="H42" s="23">
        <f>AVERAGE(D42,E42,F42)</f>
        <v>2.9</v>
      </c>
      <c r="I42" s="4"/>
      <c r="J42" s="24">
        <v>4.0</v>
      </c>
      <c r="K42" s="25"/>
      <c r="L42" s="26">
        <f>H42*J42</f>
        <v>11.6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3" t="s">
        <v>75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38.9</v>
      </c>
      <c r="E44" s="21"/>
      <c r="F44" s="21"/>
      <c r="G44" s="22">
        <f>SUM(D44,E44,F44)</f>
        <v>38.9</v>
      </c>
      <c r="H44" s="23">
        <f>AVERAGE(D44,E44,F44)</f>
        <v>38.9</v>
      </c>
      <c r="I44" s="4"/>
      <c r="J44" s="24">
        <v>3.0</v>
      </c>
      <c r="K44" s="25"/>
      <c r="L44" s="26">
        <f>H44*J44</f>
        <v>116.7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3" t="s">
        <v>197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35.9</v>
      </c>
      <c r="E46" s="21"/>
      <c r="F46" s="21"/>
      <c r="G46" s="22">
        <f>SUM(D46,E46,F46)</f>
        <v>35.9</v>
      </c>
      <c r="H46" s="23">
        <f>AVERAGE(D46,E46,F46)</f>
        <v>35.9</v>
      </c>
      <c r="I46" s="4"/>
      <c r="J46" s="24">
        <v>4.0</v>
      </c>
      <c r="K46" s="25"/>
      <c r="L46" s="26">
        <f>H46*J46</f>
        <v>143.6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4" t="s">
        <v>81</v>
      </c>
      <c r="E47" s="30" t="s">
        <v>82</v>
      </c>
      <c r="F47" s="14" t="s">
        <v>33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10.99</v>
      </c>
      <c r="E48" s="21">
        <v>9.8</v>
      </c>
      <c r="F48" s="21"/>
      <c r="G48" s="22">
        <f>SUM(D48,E48,F48)</f>
        <v>20.79</v>
      </c>
      <c r="H48" s="23">
        <f>AVERAGE(D48,E48,F48)</f>
        <v>10.395</v>
      </c>
      <c r="I48" s="4"/>
      <c r="J48" s="24">
        <v>5.0</v>
      </c>
      <c r="K48" s="25"/>
      <c r="L48" s="26">
        <f>H48*J48</f>
        <v>51.975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9.5</v>
      </c>
      <c r="E50" s="21">
        <v>8.99</v>
      </c>
      <c r="F50" s="21"/>
      <c r="G50" s="22">
        <f>SUM(D50,E50,F50)</f>
        <v>18.49</v>
      </c>
      <c r="H50" s="23">
        <f>AVERAGE(D50,E50,F50)</f>
        <v>9.245</v>
      </c>
      <c r="I50" s="4"/>
      <c r="J50" s="24">
        <v>0.5</v>
      </c>
      <c r="K50" s="25"/>
      <c r="L50" s="26">
        <f>H50*J50</f>
        <v>4.6225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87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35"/>
      <c r="E52" s="21">
        <v>17.0</v>
      </c>
      <c r="F52" s="21"/>
      <c r="G52" s="22">
        <f>SUM(D52,E52,F52)</f>
        <v>17</v>
      </c>
      <c r="H52" s="23">
        <f>AVERAGE(D52,E52,F52)</f>
        <v>17</v>
      </c>
      <c r="I52" s="4"/>
      <c r="J52" s="24">
        <v>0.3</v>
      </c>
      <c r="K52" s="25"/>
      <c r="L52" s="26">
        <f>H52*J52</f>
        <v>5.1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0" t="s">
        <v>90</v>
      </c>
      <c r="F53" s="13" t="s">
        <v>91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36.9</v>
      </c>
      <c r="E54" s="21"/>
      <c r="F54" s="21"/>
      <c r="G54" s="22">
        <f>SUM(D54,E54,F54)</f>
        <v>36.9</v>
      </c>
      <c r="H54" s="23">
        <f>AVERAGE(D54,E54,F54)</f>
        <v>36.9</v>
      </c>
      <c r="I54" s="4"/>
      <c r="J54" s="37">
        <v>0.5</v>
      </c>
      <c r="K54" s="38"/>
      <c r="L54" s="26">
        <f>H54*J54</f>
        <v>18.45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9" t="s">
        <v>92</v>
      </c>
      <c r="B55" s="32"/>
      <c r="C55" s="32"/>
      <c r="D55" s="32"/>
      <c r="E55" s="32"/>
      <c r="F55" s="32"/>
      <c r="G55" s="40"/>
      <c r="H55" s="41">
        <f>SUM(H4:H54)</f>
        <v>330.7133333</v>
      </c>
      <c r="I55" s="42"/>
      <c r="J55" s="43" t="s">
        <v>6</v>
      </c>
      <c r="K55" s="40"/>
      <c r="L55" s="44">
        <f>SUM(L4:L54)</f>
        <v>929.8725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93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5.3</v>
      </c>
      <c r="E58" s="35"/>
      <c r="F58" s="21"/>
      <c r="G58" s="22">
        <f>SUM(D58,E58,F58)</f>
        <v>5.3</v>
      </c>
      <c r="H58" s="23">
        <f>AVERAGE(D58,E58,F58)</f>
        <v>5.3</v>
      </c>
      <c r="I58" s="4"/>
      <c r="J58" s="24">
        <v>4.0</v>
      </c>
      <c r="K58" s="25"/>
      <c r="L58" s="26">
        <f>H58*J58</f>
        <v>21.2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4" t="s">
        <v>98</v>
      </c>
      <c r="E59" s="34" t="s">
        <v>188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2.89</v>
      </c>
      <c r="E60" s="21">
        <v>3.0</v>
      </c>
      <c r="F60" s="35"/>
      <c r="G60" s="22">
        <f>SUM(D60,E60,F60)</f>
        <v>5.89</v>
      </c>
      <c r="H60" s="23">
        <f>AVERAGE(D60,E60,F60)</f>
        <v>2.945</v>
      </c>
      <c r="I60" s="4"/>
      <c r="J60" s="24">
        <v>15.0</v>
      </c>
      <c r="K60" s="25"/>
      <c r="L60" s="26">
        <f>H60*J60</f>
        <v>44.175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198</v>
      </c>
      <c r="F61" s="13" t="s">
        <v>102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2.1</v>
      </c>
      <c r="E62" s="21"/>
      <c r="F62" s="21"/>
      <c r="G62" s="22">
        <f>SUM(D62,E62,F62)</f>
        <v>2.1</v>
      </c>
      <c r="H62" s="23">
        <f>AVERAGE(D62,E62,F62)</f>
        <v>2.1</v>
      </c>
      <c r="I62" s="4"/>
      <c r="J62" s="24">
        <v>2.0</v>
      </c>
      <c r="K62" s="25"/>
      <c r="L62" s="26">
        <f>H62*J62</f>
        <v>4.2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4" t="s">
        <v>105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2.59</v>
      </c>
      <c r="E64" s="21"/>
      <c r="F64" s="21"/>
      <c r="G64" s="22">
        <f>SUM(D64,E64,F64)</f>
        <v>2.59</v>
      </c>
      <c r="H64" s="23">
        <f>AVERAGE(D64,E64,F64)</f>
        <v>2.59</v>
      </c>
      <c r="I64" s="4"/>
      <c r="J64" s="24">
        <v>2.0</v>
      </c>
      <c r="K64" s="25"/>
      <c r="L64" s="26">
        <f>H64*J64</f>
        <v>5.18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12.935</v>
      </c>
      <c r="I65" s="42"/>
      <c r="J65" s="43" t="s">
        <v>6</v>
      </c>
      <c r="K65" s="40"/>
      <c r="L65" s="44">
        <f>SUM(L57:L64)</f>
        <v>74.755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110</v>
      </c>
      <c r="F67" s="13" t="s">
        <v>111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5.1</v>
      </c>
      <c r="E68" s="21">
        <v>5.1</v>
      </c>
      <c r="F68" s="21"/>
      <c r="G68" s="22">
        <f>SUM(D68,E68,F68)</f>
        <v>10.2</v>
      </c>
      <c r="H68" s="23">
        <f>AVERAGE(D68,E68,F68)</f>
        <v>5.1</v>
      </c>
      <c r="I68" s="4"/>
      <c r="J68" s="24">
        <v>3.0</v>
      </c>
      <c r="K68" s="25"/>
      <c r="L68" s="26">
        <f>H68*J68</f>
        <v>15.3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4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4.89</v>
      </c>
      <c r="E70" s="21">
        <v>4.69</v>
      </c>
      <c r="F70" s="35"/>
      <c r="G70" s="22">
        <f>SUM(D70,E70,F70)</f>
        <v>9.58</v>
      </c>
      <c r="H70" s="23">
        <f>AVERAGE(D70,E70,F70)</f>
        <v>4.79</v>
      </c>
      <c r="I70" s="4"/>
      <c r="J70" s="24">
        <v>2.0</v>
      </c>
      <c r="K70" s="25"/>
      <c r="L70" s="26">
        <f>H70*J70</f>
        <v>9.58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2.29</v>
      </c>
      <c r="E72" s="21">
        <v>2.29</v>
      </c>
      <c r="F72" s="21"/>
      <c r="G72" s="22">
        <f>SUM(D72,E72,F72)</f>
        <v>4.58</v>
      </c>
      <c r="H72" s="23">
        <f>AVERAGE(D72,E72,F72)</f>
        <v>2.29</v>
      </c>
      <c r="I72" s="4"/>
      <c r="J72" s="24">
        <v>10.0</v>
      </c>
      <c r="K72" s="25"/>
      <c r="L72" s="26">
        <f>H72*J72</f>
        <v>22.9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121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12.99</v>
      </c>
      <c r="E74" s="21"/>
      <c r="F74" s="35"/>
      <c r="G74" s="22">
        <f>SUM(D74,E74,F74)</f>
        <v>12.99</v>
      </c>
      <c r="H74" s="23">
        <f>AVERAGE(D74,E74,F74)</f>
        <v>12.99</v>
      </c>
      <c r="I74" s="4"/>
      <c r="J74" s="24">
        <v>2.0</v>
      </c>
      <c r="K74" s="25"/>
      <c r="L74" s="26">
        <f>H74*J74</f>
        <v>25.98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3.49</v>
      </c>
      <c r="E76" s="21">
        <v>3.5</v>
      </c>
      <c r="F76" s="35"/>
      <c r="G76" s="22">
        <f>SUM(D76,E76,F76)</f>
        <v>6.99</v>
      </c>
      <c r="H76" s="23">
        <f>AVERAGE(D76,E76,F76)</f>
        <v>3.495</v>
      </c>
      <c r="I76" s="4"/>
      <c r="J76" s="24">
        <v>1.0</v>
      </c>
      <c r="K76" s="25"/>
      <c r="L76" s="26">
        <f>H76*J76</f>
        <v>3.495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28.665</v>
      </c>
      <c r="I77" s="42"/>
      <c r="J77" s="43" t="s">
        <v>6</v>
      </c>
      <c r="K77" s="40"/>
      <c r="L77" s="49">
        <f>SUM(L68:L76)</f>
        <v>77.255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372.3133333</v>
      </c>
      <c r="I80" s="4"/>
      <c r="J80" s="4"/>
      <c r="K80" s="54" t="s">
        <v>6</v>
      </c>
      <c r="L80" s="49">
        <f>L55+L65+L77</f>
        <v>1081.8825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06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199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25.9</v>
      </c>
      <c r="E4" s="21">
        <v>25.0</v>
      </c>
      <c r="F4" s="21"/>
      <c r="G4" s="22">
        <f>SUM(D4,E4,F4)</f>
        <v>50.9</v>
      </c>
      <c r="H4" s="23">
        <f>AVERAGE(D4,E4,F4)</f>
        <v>25.45</v>
      </c>
      <c r="I4" s="16"/>
      <c r="J4" s="24">
        <v>3.0</v>
      </c>
      <c r="K4" s="25" t="s">
        <v>11</v>
      </c>
      <c r="L4" s="26">
        <f>H4*J4</f>
        <v>76.35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200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5.7</v>
      </c>
      <c r="E6" s="21">
        <v>5.9</v>
      </c>
      <c r="F6" s="21"/>
      <c r="G6" s="22">
        <f>SUM(D6,E6,F6)</f>
        <v>11.6</v>
      </c>
      <c r="H6" s="23">
        <f>AVERAGE(D6,E6,F6)</f>
        <v>5.8</v>
      </c>
      <c r="I6" s="16"/>
      <c r="J6" s="24">
        <v>4.0</v>
      </c>
      <c r="K6" s="25"/>
      <c r="L6" s="26">
        <f>H6*J6</f>
        <v>23.2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129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15.99</v>
      </c>
      <c r="E8" s="35"/>
      <c r="F8" s="35"/>
      <c r="G8" s="22">
        <f>SUM(D8,E8,F8)</f>
        <v>15.99</v>
      </c>
      <c r="H8" s="23">
        <f>AVERAGE(D8,E8,F8)</f>
        <v>15.99</v>
      </c>
      <c r="I8" s="16"/>
      <c r="J8" s="24">
        <v>2.0</v>
      </c>
      <c r="K8" s="25"/>
      <c r="L8" s="26">
        <f>H8*J8</f>
        <v>31.98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4" t="s">
        <v>201</v>
      </c>
      <c r="F9" s="14" t="s">
        <v>130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28.9</v>
      </c>
      <c r="E10" s="21">
        <v>27.9</v>
      </c>
      <c r="F10" s="21"/>
      <c r="G10" s="22">
        <f>SUM(D10,E10,F10)</f>
        <v>56.8</v>
      </c>
      <c r="H10" s="23">
        <f>AVERAGE(D10,E10,F10)</f>
        <v>28.4</v>
      </c>
      <c r="I10" s="16"/>
      <c r="J10" s="24">
        <v>3.0</v>
      </c>
      <c r="K10" s="25"/>
      <c r="L10" s="26">
        <f>H10*J10</f>
        <v>85.2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4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4.59</v>
      </c>
      <c r="E12" s="21">
        <v>4.59</v>
      </c>
      <c r="F12" s="21"/>
      <c r="G12" s="22">
        <f>SUM(D12,E12,F12)</f>
        <v>9.18</v>
      </c>
      <c r="H12" s="23">
        <f>AVERAGE(D12,E12,F12)</f>
        <v>4.59</v>
      </c>
      <c r="I12" s="16"/>
      <c r="J12" s="24">
        <v>3.0</v>
      </c>
      <c r="K12" s="25"/>
      <c r="L12" s="26">
        <f>H12*J12</f>
        <v>13.77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4" t="s">
        <v>175</v>
      </c>
      <c r="E13" s="34" t="s">
        <v>154</v>
      </c>
      <c r="F13" s="13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>
        <v>5.49</v>
      </c>
      <c r="F14" s="21">
        <v>8.9</v>
      </c>
      <c r="G14" s="22">
        <f>SUM(D14,E14,F14)</f>
        <v>14.39</v>
      </c>
      <c r="H14" s="23">
        <f>AVERAGE(D14,E14,F14)</f>
        <v>7.195</v>
      </c>
      <c r="I14" s="16"/>
      <c r="J14" s="24">
        <v>1.0</v>
      </c>
      <c r="K14" s="25"/>
      <c r="L14" s="26">
        <f>H14*J14</f>
        <v>7.195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4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3.25</v>
      </c>
      <c r="E16" s="35"/>
      <c r="F16" s="35"/>
      <c r="G16" s="22">
        <f>SUM(D16,E16,F16)</f>
        <v>3.25</v>
      </c>
      <c r="H16" s="23">
        <f>AVERAGE(D16,E16,F16)</f>
        <v>3.25</v>
      </c>
      <c r="I16" s="16"/>
      <c r="J16" s="24">
        <v>4.0</v>
      </c>
      <c r="K16" s="25"/>
      <c r="L16" s="26">
        <f>H16*J16</f>
        <v>13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2.99</v>
      </c>
      <c r="E18" s="35"/>
      <c r="F18" s="35"/>
      <c r="G18" s="22">
        <f>SUM(D18,E18,F18)</f>
        <v>2.99</v>
      </c>
      <c r="H18" s="23">
        <f>AVERAGE(D18,E18,F18)</f>
        <v>2.99</v>
      </c>
      <c r="I18" s="16"/>
      <c r="J18" s="24">
        <v>1.0</v>
      </c>
      <c r="K18" s="25"/>
      <c r="L18" s="26">
        <f>H18*J18</f>
        <v>2.99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3.89</v>
      </c>
      <c r="E20" s="35"/>
      <c r="F20" s="35"/>
      <c r="G20" s="22">
        <f>SUM(D20,E20,F20)</f>
        <v>3.89</v>
      </c>
      <c r="H20" s="23">
        <f>AVERAGE(D20,E20,F20)</f>
        <v>3.89</v>
      </c>
      <c r="I20" s="16"/>
      <c r="J20" s="24">
        <v>9.0</v>
      </c>
      <c r="K20" s="25"/>
      <c r="L20" s="26">
        <f>H20*J20</f>
        <v>35.01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17.0</v>
      </c>
      <c r="E22" s="35"/>
      <c r="F22" s="35"/>
      <c r="G22" s="22">
        <f>SUM(D22,E22,F22)</f>
        <v>17</v>
      </c>
      <c r="H22" s="23">
        <f>AVERAGE(D22,E22,F22)</f>
        <v>17</v>
      </c>
      <c r="I22" s="16"/>
      <c r="J22" s="24">
        <v>0.2</v>
      </c>
      <c r="K22" s="25"/>
      <c r="L22" s="26">
        <f>H22*J22</f>
        <v>3.4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9.8</v>
      </c>
      <c r="E24" s="21"/>
      <c r="F24" s="35"/>
      <c r="G24" s="22">
        <f>SUM(D24,E24,F24)</f>
        <v>9.8</v>
      </c>
      <c r="H24" s="23">
        <f>AVERAGE(D24,E24,F24)</f>
        <v>9.8</v>
      </c>
      <c r="I24" s="4"/>
      <c r="J24" s="24">
        <v>3.0</v>
      </c>
      <c r="K24" s="25"/>
      <c r="L24" s="26">
        <f>H24*J24</f>
        <v>29.4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4" t="s">
        <v>44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4.4</v>
      </c>
      <c r="E26" s="21"/>
      <c r="F26" s="21"/>
      <c r="G26" s="22">
        <f>SUM(D26,E26,F26)</f>
        <v>4.4</v>
      </c>
      <c r="H26" s="23">
        <f>AVERAGE(D26,E26,F26)</f>
        <v>4.4</v>
      </c>
      <c r="I26" s="4"/>
      <c r="J26" s="24">
        <v>4.0</v>
      </c>
      <c r="K26" s="25"/>
      <c r="L26" s="26">
        <f>H26*J26</f>
        <v>17.6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202</v>
      </c>
      <c r="C27" s="29"/>
      <c r="D27" s="34" t="s">
        <v>203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1.5</v>
      </c>
      <c r="E28" s="21">
        <v>2.3</v>
      </c>
      <c r="F28" s="21"/>
      <c r="G28" s="22">
        <f>SUM(D28,E28,F28)</f>
        <v>3.8</v>
      </c>
      <c r="H28" s="23">
        <f>AVERAGE(D28,E28,F28)</f>
        <v>1.9</v>
      </c>
      <c r="I28" s="4"/>
      <c r="J28" s="24">
        <v>2.0</v>
      </c>
      <c r="K28" s="25"/>
      <c r="L28" s="26">
        <f>H28*J28</f>
        <v>3.8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4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13.0</v>
      </c>
      <c r="E30" s="35"/>
      <c r="F30" s="35"/>
      <c r="G30" s="22">
        <f>SUM(D30,E30,F30)</f>
        <v>13</v>
      </c>
      <c r="H30" s="23">
        <f>AVERAGE(D30,E30,F30)</f>
        <v>13</v>
      </c>
      <c r="I30" s="4"/>
      <c r="J30" s="24">
        <v>6.0</v>
      </c>
      <c r="K30" s="25"/>
      <c r="L30" s="26">
        <f>H30*J30</f>
        <v>78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4.9</v>
      </c>
      <c r="E32" s="21"/>
      <c r="F32" s="35"/>
      <c r="G32" s="22">
        <f>SUM(D32,E32,F32)</f>
        <v>4.9</v>
      </c>
      <c r="H32" s="23">
        <f>AVERAGE(D32,E32,F32)</f>
        <v>4.9</v>
      </c>
      <c r="I32" s="4"/>
      <c r="J32" s="24">
        <v>7.5</v>
      </c>
      <c r="K32" s="25"/>
      <c r="L32" s="26">
        <f>H32*J32</f>
        <v>36.75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0" t="s">
        <v>134</v>
      </c>
      <c r="F33" s="13" t="s">
        <v>204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7.2</v>
      </c>
      <c r="E34" s="35"/>
      <c r="F34" s="21"/>
      <c r="G34" s="22">
        <f>SUM(D34,E34,F34)</f>
        <v>7.2</v>
      </c>
      <c r="H34" s="23">
        <f>AVERAGE(D34,E34,F34)</f>
        <v>7.2</v>
      </c>
      <c r="I34" s="4"/>
      <c r="J34" s="24">
        <v>5.0</v>
      </c>
      <c r="K34" s="25"/>
      <c r="L34" s="26">
        <f>H34*J34</f>
        <v>36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3" t="s">
        <v>205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4.38</v>
      </c>
      <c r="E36" s="21">
        <v>4.55</v>
      </c>
      <c r="F36" s="21"/>
      <c r="G36" s="22">
        <f>SUM(D36,E36,F36)</f>
        <v>8.93</v>
      </c>
      <c r="H36" s="23">
        <f>AVERAGE(D36,E36,F36)</f>
        <v>4.465</v>
      </c>
      <c r="I36" s="4"/>
      <c r="J36" s="24">
        <v>7.5</v>
      </c>
      <c r="K36" s="25"/>
      <c r="L36" s="26">
        <f>H36*J36</f>
        <v>33.4875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179</v>
      </c>
      <c r="C37" s="29"/>
      <c r="D37" s="30" t="s">
        <v>61</v>
      </c>
      <c r="E37" s="34" t="s">
        <v>135</v>
      </c>
      <c r="F37" s="13" t="s">
        <v>65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16.49</v>
      </c>
      <c r="E38" s="21"/>
      <c r="F38" s="21"/>
      <c r="G38" s="22">
        <f>SUM(D38,E38,F38)</f>
        <v>16.49</v>
      </c>
      <c r="H38" s="23">
        <f>AVERAGE(D38,E38,F38)</f>
        <v>16.49</v>
      </c>
      <c r="I38" s="4"/>
      <c r="J38" s="24">
        <v>3.0</v>
      </c>
      <c r="K38" s="25"/>
      <c r="L38" s="26">
        <f>H38*J38</f>
        <v>49.47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0" t="s">
        <v>136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3.99</v>
      </c>
      <c r="E40" s="21">
        <v>3.88</v>
      </c>
      <c r="F40" s="21"/>
      <c r="G40" s="22">
        <f>SUM(D40,E40,F40)</f>
        <v>7.87</v>
      </c>
      <c r="H40" s="23">
        <f>AVERAGE(D40,E40,F40)</f>
        <v>3.935</v>
      </c>
      <c r="I40" s="4"/>
      <c r="J40" s="24">
        <v>4.0</v>
      </c>
      <c r="K40" s="25"/>
      <c r="L40" s="26">
        <f>H40*J40</f>
        <v>15.74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3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>
        <v>2.3</v>
      </c>
      <c r="F42" s="21">
        <v>2.68</v>
      </c>
      <c r="G42" s="22">
        <f>SUM(D42,E42,F42)</f>
        <v>4.98</v>
      </c>
      <c r="H42" s="23">
        <f>AVERAGE(D42,E42,F42)</f>
        <v>2.49</v>
      </c>
      <c r="I42" s="4"/>
      <c r="J42" s="24">
        <v>4.0</v>
      </c>
      <c r="K42" s="25"/>
      <c r="L42" s="26">
        <f>H42*J42</f>
        <v>9.96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3" t="s">
        <v>206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40.3</v>
      </c>
      <c r="E44" s="35"/>
      <c r="F44" s="21"/>
      <c r="G44" s="22">
        <f>SUM(D44,E44,F44)</f>
        <v>40.3</v>
      </c>
      <c r="H44" s="23">
        <f>AVERAGE(D44,E44,F44)</f>
        <v>40.3</v>
      </c>
      <c r="I44" s="4"/>
      <c r="J44" s="24">
        <v>3.0</v>
      </c>
      <c r="K44" s="25"/>
      <c r="L44" s="26">
        <f>H44*J44</f>
        <v>120.9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4" t="s">
        <v>139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38.0</v>
      </c>
      <c r="E46" s="21">
        <v>26.0</v>
      </c>
      <c r="F46" s="35"/>
      <c r="G46" s="22">
        <f>SUM(D46,E46,F46)</f>
        <v>64</v>
      </c>
      <c r="H46" s="23">
        <f>AVERAGE(D46,E46,F46)</f>
        <v>32</v>
      </c>
      <c r="I46" s="4"/>
      <c r="J46" s="24">
        <v>4.0</v>
      </c>
      <c r="K46" s="25"/>
      <c r="L46" s="26">
        <f>H46*J46</f>
        <v>128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0" t="s">
        <v>84</v>
      </c>
      <c r="E47" s="30" t="s">
        <v>82</v>
      </c>
      <c r="F47" s="13" t="s">
        <v>207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8.9</v>
      </c>
      <c r="E48" s="21">
        <v>10.9</v>
      </c>
      <c r="F48" s="21"/>
      <c r="G48" s="22">
        <f>SUM(D48,E48,F48)</f>
        <v>19.8</v>
      </c>
      <c r="H48" s="23">
        <f>AVERAGE(D48,E48,F48)</f>
        <v>9.9</v>
      </c>
      <c r="I48" s="4"/>
      <c r="J48" s="24">
        <v>5.0</v>
      </c>
      <c r="K48" s="25"/>
      <c r="L48" s="26">
        <f>H48*J48</f>
        <v>49.5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9.0</v>
      </c>
      <c r="E50" s="35"/>
      <c r="F50" s="35"/>
      <c r="G50" s="22">
        <f>SUM(D50,E50,F50)</f>
        <v>9</v>
      </c>
      <c r="H50" s="23">
        <f>AVERAGE(D50,E50,F50)</f>
        <v>9</v>
      </c>
      <c r="I50" s="4"/>
      <c r="J50" s="24">
        <v>0.5</v>
      </c>
      <c r="K50" s="25"/>
      <c r="L50" s="26">
        <f>H50*J50</f>
        <v>4.5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4" t="s">
        <v>208</v>
      </c>
      <c r="E51" s="30" t="s">
        <v>82</v>
      </c>
      <c r="F51" s="14" t="s">
        <v>141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17.99</v>
      </c>
      <c r="E52" s="35"/>
      <c r="F52" s="21"/>
      <c r="G52" s="22">
        <f>SUM(D52,E52,F52)</f>
        <v>17.99</v>
      </c>
      <c r="H52" s="23">
        <f>AVERAGE(D52,E52,F52)</f>
        <v>17.99</v>
      </c>
      <c r="I52" s="4"/>
      <c r="J52" s="24">
        <v>0.3</v>
      </c>
      <c r="K52" s="25"/>
      <c r="L52" s="26">
        <f>H52*J52</f>
        <v>5.397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4" t="s">
        <v>171</v>
      </c>
      <c r="F53" s="14" t="s">
        <v>143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36.9</v>
      </c>
      <c r="E54" s="21"/>
      <c r="F54" s="35"/>
      <c r="G54" s="22">
        <f>SUM(D54,E54,F54)</f>
        <v>36.9</v>
      </c>
      <c r="H54" s="23">
        <f>AVERAGE(D54,E54,F54)</f>
        <v>36.9</v>
      </c>
      <c r="I54" s="4"/>
      <c r="J54" s="37">
        <v>0.5</v>
      </c>
      <c r="K54" s="38"/>
      <c r="L54" s="26">
        <f>H54*J54</f>
        <v>18.45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329.225</v>
      </c>
      <c r="I55" s="42"/>
      <c r="J55" s="43" t="s">
        <v>6</v>
      </c>
      <c r="K55" s="40"/>
      <c r="L55" s="44">
        <f>SUM(L4:L54)</f>
        <v>929.0495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186</v>
      </c>
      <c r="C57" s="29"/>
      <c r="D57" s="30" t="s">
        <v>94</v>
      </c>
      <c r="E57" s="34" t="s">
        <v>149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5.99</v>
      </c>
      <c r="E58" s="21"/>
      <c r="F58" s="21"/>
      <c r="G58" s="22">
        <f>SUM(D58,E58,F58)</f>
        <v>5.99</v>
      </c>
      <c r="H58" s="23">
        <f>AVERAGE(D58,E58,F58)</f>
        <v>5.99</v>
      </c>
      <c r="I58" s="4"/>
      <c r="J58" s="24">
        <v>4.0</v>
      </c>
      <c r="K58" s="25"/>
      <c r="L58" s="26">
        <f>H58*J58</f>
        <v>23.96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4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2.75</v>
      </c>
      <c r="E60" s="21"/>
      <c r="F60" s="35"/>
      <c r="G60" s="22">
        <f>SUM(D60,E60,F60)</f>
        <v>2.75</v>
      </c>
      <c r="H60" s="23">
        <f>AVERAGE(D60,E60,F60)</f>
        <v>2.75</v>
      </c>
      <c r="I60" s="4"/>
      <c r="J60" s="24">
        <v>15.0</v>
      </c>
      <c r="K60" s="25"/>
      <c r="L60" s="26">
        <f>H60*J60</f>
        <v>41.25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149</v>
      </c>
      <c r="F61" s="13" t="s">
        <v>24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3.1</v>
      </c>
      <c r="E62" s="21"/>
      <c r="F62" s="21"/>
      <c r="G62" s="22">
        <f>SUM(D62,E62,F62)</f>
        <v>3.1</v>
      </c>
      <c r="H62" s="23">
        <f>AVERAGE(D62,E62,F62)</f>
        <v>3.1</v>
      </c>
      <c r="I62" s="4"/>
      <c r="J62" s="24">
        <v>2.0</v>
      </c>
      <c r="K62" s="25"/>
      <c r="L62" s="26">
        <f>H62*J62</f>
        <v>6.2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3" t="s">
        <v>209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2.59</v>
      </c>
      <c r="E64" s="21"/>
      <c r="F64" s="21"/>
      <c r="G64" s="22">
        <f>SUM(D64,E64,F64)</f>
        <v>2.59</v>
      </c>
      <c r="H64" s="23">
        <f>AVERAGE(D64,E64,F64)</f>
        <v>2.59</v>
      </c>
      <c r="I64" s="4"/>
      <c r="J64" s="24">
        <v>2.0</v>
      </c>
      <c r="K64" s="25"/>
      <c r="L64" s="26">
        <f>H64*J64</f>
        <v>5.18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14.43</v>
      </c>
      <c r="I65" s="42"/>
      <c r="J65" s="43" t="s">
        <v>6</v>
      </c>
      <c r="K65" s="40"/>
      <c r="L65" s="44">
        <f>SUM(L57:L64)</f>
        <v>76.59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149</v>
      </c>
      <c r="F67" s="14" t="s">
        <v>150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4.15</v>
      </c>
      <c r="E68" s="21"/>
      <c r="F68" s="21"/>
      <c r="G68" s="22">
        <f>SUM(D68,E68,F68)</f>
        <v>4.15</v>
      </c>
      <c r="H68" s="23">
        <f>AVERAGE(D68,E68,F68)</f>
        <v>4.15</v>
      </c>
      <c r="I68" s="4"/>
      <c r="J68" s="24">
        <v>3.0</v>
      </c>
      <c r="K68" s="25"/>
      <c r="L68" s="26">
        <f>H68*J68</f>
        <v>12.45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3" t="s">
        <v>210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4.99</v>
      </c>
      <c r="E70" s="21"/>
      <c r="F70" s="21"/>
      <c r="G70" s="22">
        <f>SUM(D70,E70,F70)</f>
        <v>4.99</v>
      </c>
      <c r="H70" s="23">
        <f>AVERAGE(D70,E70,F70)</f>
        <v>4.99</v>
      </c>
      <c r="I70" s="4"/>
      <c r="J70" s="24">
        <v>2.0</v>
      </c>
      <c r="K70" s="25"/>
      <c r="L70" s="26">
        <f>H70*J70</f>
        <v>9.98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46" t="s">
        <v>211</v>
      </c>
      <c r="C71" s="29"/>
      <c r="D71" s="30" t="s">
        <v>116</v>
      </c>
      <c r="E71" s="34" t="s">
        <v>192</v>
      </c>
      <c r="F71" s="14" t="s">
        <v>33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1.99</v>
      </c>
      <c r="E72" s="21">
        <v>1.99</v>
      </c>
      <c r="F72" s="35"/>
      <c r="G72" s="22">
        <f>SUM(D72,E72,F72)</f>
        <v>3.98</v>
      </c>
      <c r="H72" s="23">
        <f>AVERAGE(D72,E72,F72)</f>
        <v>1.99</v>
      </c>
      <c r="I72" s="4"/>
      <c r="J72" s="24">
        <v>10.0</v>
      </c>
      <c r="K72" s="25"/>
      <c r="L72" s="26">
        <f>H72*J72</f>
        <v>19.9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152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13.9</v>
      </c>
      <c r="E74" s="21">
        <v>13.0</v>
      </c>
      <c r="F74" s="35"/>
      <c r="G74" s="22">
        <f>SUM(D74,E74,F74)</f>
        <v>26.9</v>
      </c>
      <c r="H74" s="23">
        <f>AVERAGE(D74,E74,F74)</f>
        <v>13.45</v>
      </c>
      <c r="I74" s="4"/>
      <c r="J74" s="24">
        <v>2.0</v>
      </c>
      <c r="K74" s="25"/>
      <c r="L74" s="26">
        <f>H74*J74</f>
        <v>26.9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4" t="s">
        <v>123</v>
      </c>
      <c r="E75" s="34" t="s">
        <v>212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5.39</v>
      </c>
      <c r="E76" s="21"/>
      <c r="F76" s="35"/>
      <c r="G76" s="22">
        <f>SUM(D76,E76,F76)</f>
        <v>5.39</v>
      </c>
      <c r="H76" s="23">
        <f>AVERAGE(D76,E76,F76)</f>
        <v>5.39</v>
      </c>
      <c r="I76" s="4"/>
      <c r="J76" s="24">
        <v>1.0</v>
      </c>
      <c r="K76" s="25"/>
      <c r="L76" s="26">
        <f>H76*J76</f>
        <v>5.39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29.97</v>
      </c>
      <c r="I77" s="42"/>
      <c r="J77" s="43" t="s">
        <v>6</v>
      </c>
      <c r="K77" s="40"/>
      <c r="L77" s="49">
        <f>SUM(L68:L76)</f>
        <v>74.62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373.625</v>
      </c>
      <c r="I80" s="4"/>
      <c r="J80" s="4"/>
      <c r="K80" s="54" t="s">
        <v>6</v>
      </c>
      <c r="L80" s="49">
        <f>L55+L65+L77</f>
        <v>1080.2595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213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25.9</v>
      </c>
      <c r="E4" s="21">
        <v>28.8</v>
      </c>
      <c r="F4" s="21">
        <v>26.9</v>
      </c>
      <c r="G4" s="22">
        <f>SUM(D4,E4,F4)</f>
        <v>81.6</v>
      </c>
      <c r="H4" s="23">
        <f>AVERAGE(D4,E4,F4)</f>
        <v>27.2</v>
      </c>
      <c r="I4" s="16"/>
      <c r="J4" s="24">
        <v>3.0</v>
      </c>
      <c r="K4" s="25" t="s">
        <v>11</v>
      </c>
      <c r="L4" s="26">
        <f>H4*J4</f>
        <v>81.6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4" t="s">
        <v>214</v>
      </c>
      <c r="F5" s="14" t="s">
        <v>127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6.25</v>
      </c>
      <c r="E6" s="21"/>
      <c r="F6" s="35"/>
      <c r="G6" s="22">
        <f>SUM(D6,E6,F6)</f>
        <v>6.25</v>
      </c>
      <c r="H6" s="23">
        <f>AVERAGE(D6,E6,F6)</f>
        <v>6.25</v>
      </c>
      <c r="I6" s="16"/>
      <c r="J6" s="24">
        <v>4.0</v>
      </c>
      <c r="K6" s="25"/>
      <c r="L6" s="26">
        <f>H6*J6</f>
        <v>25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129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16.9</v>
      </c>
      <c r="E8" s="35"/>
      <c r="F8" s="35"/>
      <c r="G8" s="22">
        <f>SUM(D8,E8,F8)</f>
        <v>16.9</v>
      </c>
      <c r="H8" s="23">
        <f>AVERAGE(D8,E8,F8)</f>
        <v>16.9</v>
      </c>
      <c r="I8" s="16"/>
      <c r="J8" s="24">
        <v>2.0</v>
      </c>
      <c r="K8" s="25"/>
      <c r="L8" s="26">
        <f>H8*J8</f>
        <v>33.8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4" t="s">
        <v>21</v>
      </c>
      <c r="F9" s="14" t="s">
        <v>130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29.99</v>
      </c>
      <c r="E10" s="21">
        <v>29.99</v>
      </c>
      <c r="F10" s="35"/>
      <c r="G10" s="22">
        <f>SUM(D10,E10,F10)</f>
        <v>59.98</v>
      </c>
      <c r="H10" s="23">
        <f>AVERAGE(D10,E10,F10)</f>
        <v>29.99</v>
      </c>
      <c r="I10" s="16"/>
      <c r="J10" s="24">
        <v>3.0</v>
      </c>
      <c r="K10" s="25"/>
      <c r="L10" s="26">
        <f>H10*J10</f>
        <v>89.97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5.79</v>
      </c>
      <c r="E12" s="21"/>
      <c r="F12" s="21"/>
      <c r="G12" s="22">
        <f>SUM(D12,E12,F12)</f>
        <v>5.79</v>
      </c>
      <c r="H12" s="23">
        <f>AVERAGE(D12,E12,F12)</f>
        <v>5.79</v>
      </c>
      <c r="I12" s="16"/>
      <c r="J12" s="24">
        <v>3.0</v>
      </c>
      <c r="K12" s="25"/>
      <c r="L12" s="26">
        <f>H12*J12</f>
        <v>17.37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0" t="s">
        <v>133</v>
      </c>
      <c r="F13" s="13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>
        <v>5.3</v>
      </c>
      <c r="F14" s="21">
        <v>5.1</v>
      </c>
      <c r="G14" s="22">
        <f>SUM(D14,E14,F14)</f>
        <v>10.4</v>
      </c>
      <c r="H14" s="23">
        <f>AVERAGE(D14,E14,F14)</f>
        <v>5.2</v>
      </c>
      <c r="I14" s="16"/>
      <c r="J14" s="24">
        <v>1.0</v>
      </c>
      <c r="K14" s="25"/>
      <c r="L14" s="26">
        <f>H14*J14</f>
        <v>5.2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6.49</v>
      </c>
      <c r="E16" s="35"/>
      <c r="F16" s="35"/>
      <c r="G16" s="22">
        <f>SUM(D16,E16,F16)</f>
        <v>6.49</v>
      </c>
      <c r="H16" s="23">
        <f>AVERAGE(D16,E16,F16)</f>
        <v>6.49</v>
      </c>
      <c r="I16" s="16"/>
      <c r="J16" s="24">
        <v>4.0</v>
      </c>
      <c r="K16" s="25"/>
      <c r="L16" s="26">
        <f>H16*J16</f>
        <v>25.96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3.99</v>
      </c>
      <c r="E18" s="35"/>
      <c r="F18" s="35"/>
      <c r="G18" s="22">
        <f>SUM(D18,E18,F18)</f>
        <v>3.99</v>
      </c>
      <c r="H18" s="23">
        <f>AVERAGE(D18,E18,F18)</f>
        <v>3.99</v>
      </c>
      <c r="I18" s="16"/>
      <c r="J18" s="24">
        <v>1.0</v>
      </c>
      <c r="K18" s="25"/>
      <c r="L18" s="26">
        <f>H18*J18</f>
        <v>3.99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6.99</v>
      </c>
      <c r="E20" s="35"/>
      <c r="F20" s="35"/>
      <c r="G20" s="22">
        <f>SUM(D20,E20,F20)</f>
        <v>6.99</v>
      </c>
      <c r="H20" s="23">
        <f>AVERAGE(D20,E20,F20)</f>
        <v>6.99</v>
      </c>
      <c r="I20" s="16"/>
      <c r="J20" s="24">
        <v>9.0</v>
      </c>
      <c r="K20" s="25"/>
      <c r="L20" s="26">
        <f>H20*J20</f>
        <v>62.91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28.9</v>
      </c>
      <c r="E22" s="35"/>
      <c r="F22" s="35"/>
      <c r="G22" s="22">
        <f>SUM(D22,E22,F22)</f>
        <v>28.9</v>
      </c>
      <c r="H22" s="23">
        <f>AVERAGE(D22,E22,F22)</f>
        <v>28.9</v>
      </c>
      <c r="I22" s="16"/>
      <c r="J22" s="24">
        <v>0.2</v>
      </c>
      <c r="K22" s="25"/>
      <c r="L22" s="26">
        <f>H22*J22</f>
        <v>5.78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10.4</v>
      </c>
      <c r="E24" s="21"/>
      <c r="F24" s="35"/>
      <c r="G24" s="22">
        <f>SUM(D24,E24,F24)</f>
        <v>10.4</v>
      </c>
      <c r="H24" s="23">
        <f>AVERAGE(D24,E24,F24)</f>
        <v>10.4</v>
      </c>
      <c r="I24" s="4"/>
      <c r="J24" s="24">
        <v>3.0</v>
      </c>
      <c r="K24" s="25"/>
      <c r="L24" s="26">
        <f>H24*J24</f>
        <v>31.2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4.98</v>
      </c>
      <c r="E26" s="35"/>
      <c r="F26" s="21">
        <v>5.28</v>
      </c>
      <c r="G26" s="22">
        <f>SUM(D26,E26,F26)</f>
        <v>10.26</v>
      </c>
      <c r="H26" s="23">
        <f>AVERAGE(D26,E26,F26)</f>
        <v>5.13</v>
      </c>
      <c r="I26" s="4"/>
      <c r="J26" s="24">
        <v>4.0</v>
      </c>
      <c r="K26" s="25"/>
      <c r="L26" s="26">
        <f>H26*J26</f>
        <v>20.52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176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35"/>
      <c r="E28" s="21">
        <v>3.8</v>
      </c>
      <c r="F28" s="21">
        <v>2.8</v>
      </c>
      <c r="G28" s="22">
        <f>SUM(D28,E28,F28)</f>
        <v>6.6</v>
      </c>
      <c r="H28" s="23">
        <f>AVERAGE(D28,E28,F28)</f>
        <v>3.3</v>
      </c>
      <c r="I28" s="4"/>
      <c r="J28" s="24">
        <v>2.0</v>
      </c>
      <c r="K28" s="25"/>
      <c r="L28" s="26">
        <f>H28*J28</f>
        <v>6.6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13.6</v>
      </c>
      <c r="E30" s="35"/>
      <c r="F30" s="35"/>
      <c r="G30" s="22">
        <f>SUM(D30,E30,F30)</f>
        <v>13.6</v>
      </c>
      <c r="H30" s="23">
        <f>AVERAGE(D30,E30,F30)</f>
        <v>13.6</v>
      </c>
      <c r="I30" s="4"/>
      <c r="J30" s="24">
        <v>6.0</v>
      </c>
      <c r="K30" s="25"/>
      <c r="L30" s="26">
        <f>H30*J30</f>
        <v>81.6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5.15</v>
      </c>
      <c r="E32" s="21"/>
      <c r="F32" s="35"/>
      <c r="G32" s="22">
        <f>SUM(D32,E32,F32)</f>
        <v>5.15</v>
      </c>
      <c r="H32" s="23">
        <f>AVERAGE(D32,E32,F32)</f>
        <v>5.15</v>
      </c>
      <c r="I32" s="4"/>
      <c r="J32" s="24">
        <v>7.5</v>
      </c>
      <c r="K32" s="25"/>
      <c r="L32" s="26">
        <f>H32*J32</f>
        <v>38.625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4" t="s">
        <v>58</v>
      </c>
      <c r="F33" s="13" t="s">
        <v>215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6.89</v>
      </c>
      <c r="E34" s="21"/>
      <c r="F34" s="21"/>
      <c r="G34" s="22">
        <f>SUM(D34,E34,F34)</f>
        <v>6.89</v>
      </c>
      <c r="H34" s="23">
        <f>AVERAGE(D34,E34,F34)</f>
        <v>6.89</v>
      </c>
      <c r="I34" s="4"/>
      <c r="J34" s="24">
        <v>5.0</v>
      </c>
      <c r="K34" s="25"/>
      <c r="L34" s="26">
        <f>H34*J34</f>
        <v>34.45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3" t="s">
        <v>65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5.15</v>
      </c>
      <c r="E36" s="21">
        <v>5.25</v>
      </c>
      <c r="F36" s="21"/>
      <c r="G36" s="22">
        <f>SUM(D36,E36,F36)</f>
        <v>10.4</v>
      </c>
      <c r="H36" s="23">
        <f>AVERAGE(D36,E36,F36)</f>
        <v>5.2</v>
      </c>
      <c r="I36" s="4"/>
      <c r="J36" s="24">
        <v>7.5</v>
      </c>
      <c r="K36" s="25"/>
      <c r="L36" s="26">
        <f>H36*J36</f>
        <v>39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179</v>
      </c>
      <c r="C37" s="29"/>
      <c r="D37" s="30" t="s">
        <v>61</v>
      </c>
      <c r="E37" s="34" t="s">
        <v>135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17.99</v>
      </c>
      <c r="E38" s="21"/>
      <c r="F38" s="35"/>
      <c r="G38" s="22">
        <f>SUM(D38,E38,F38)</f>
        <v>17.99</v>
      </c>
      <c r="H38" s="23">
        <f>AVERAGE(D38,E38,F38)</f>
        <v>17.99</v>
      </c>
      <c r="I38" s="4"/>
      <c r="J38" s="24">
        <v>3.0</v>
      </c>
      <c r="K38" s="25"/>
      <c r="L38" s="26">
        <f>H38*J38</f>
        <v>53.97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136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4.1</v>
      </c>
      <c r="E40" s="21"/>
      <c r="F40" s="21"/>
      <c r="G40" s="22">
        <f>SUM(D40,E40,F40)</f>
        <v>4.1</v>
      </c>
      <c r="H40" s="23">
        <f>AVERAGE(D40,E40,F40)</f>
        <v>4.1</v>
      </c>
      <c r="I40" s="4"/>
      <c r="J40" s="24">
        <v>4.0</v>
      </c>
      <c r="K40" s="25"/>
      <c r="L40" s="26">
        <f>H40*J40</f>
        <v>16.4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>
        <v>3.2</v>
      </c>
      <c r="F42" s="21">
        <v>2.99</v>
      </c>
      <c r="G42" s="22">
        <f>SUM(D42,E42,F42)</f>
        <v>6.19</v>
      </c>
      <c r="H42" s="23">
        <f>AVERAGE(D42,E42,F42)</f>
        <v>3.095</v>
      </c>
      <c r="I42" s="4"/>
      <c r="J42" s="24">
        <v>4.0</v>
      </c>
      <c r="K42" s="25"/>
      <c r="L42" s="26">
        <f>H42*J42</f>
        <v>12.38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4" t="s">
        <v>216</v>
      </c>
      <c r="E43" s="34" t="s">
        <v>206</v>
      </c>
      <c r="F43" s="14" t="s">
        <v>138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43.8</v>
      </c>
      <c r="E44" s="21">
        <v>41.9</v>
      </c>
      <c r="F44" s="21"/>
      <c r="G44" s="22">
        <f>SUM(D44,E44,F44)</f>
        <v>85.7</v>
      </c>
      <c r="H44" s="23">
        <f>AVERAGE(D44,E44,F44)</f>
        <v>42.85</v>
      </c>
      <c r="I44" s="4"/>
      <c r="J44" s="24">
        <v>3.0</v>
      </c>
      <c r="K44" s="25"/>
      <c r="L44" s="26">
        <f>H44*J44</f>
        <v>128.55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4" t="s">
        <v>78</v>
      </c>
      <c r="F45" s="14" t="s">
        <v>139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38.99</v>
      </c>
      <c r="E46" s="21">
        <v>28.0</v>
      </c>
      <c r="F46" s="21"/>
      <c r="G46" s="22">
        <f>SUM(D46,E46,F46)</f>
        <v>66.99</v>
      </c>
      <c r="H46" s="23">
        <f>AVERAGE(D46,E46,F46)</f>
        <v>33.495</v>
      </c>
      <c r="I46" s="4"/>
      <c r="J46" s="24">
        <v>4.0</v>
      </c>
      <c r="K46" s="25"/>
      <c r="L46" s="26">
        <f>H46*J46</f>
        <v>133.98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0" t="s">
        <v>84</v>
      </c>
      <c r="E47" s="30" t="s">
        <v>82</v>
      </c>
      <c r="F47" s="13" t="s">
        <v>217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/>
      <c r="E48" s="35"/>
      <c r="F48" s="21"/>
      <c r="G48" s="22">
        <f>SUM(D48,E48,F48)</f>
        <v>0</v>
      </c>
      <c r="H48" s="23" t="str">
        <f>AVERAGE(D48,E48,F48)</f>
        <v>#DIV/0!</v>
      </c>
      <c r="I48" s="4"/>
      <c r="J48" s="24">
        <v>5.0</v>
      </c>
      <c r="K48" s="25"/>
      <c r="L48" s="26" t="str">
        <f>H48*J48</f>
        <v>#DIV/0!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3" t="s">
        <v>208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/>
      <c r="E50" s="21"/>
      <c r="F50" s="21"/>
      <c r="G50" s="22">
        <f>SUM(D50,E50,F50)</f>
        <v>0</v>
      </c>
      <c r="H50" s="23" t="str">
        <f>AVERAGE(D50,E50,F50)</f>
        <v>#DIV/0!</v>
      </c>
      <c r="I50" s="4"/>
      <c r="J50" s="24">
        <v>0.5</v>
      </c>
      <c r="K50" s="25"/>
      <c r="L50" s="26" t="str">
        <f>H50*J50</f>
        <v>#DIV/0!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218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/>
      <c r="E52" s="21"/>
      <c r="F52" s="21"/>
      <c r="G52" s="22">
        <f>SUM(D52,E52,F52)</f>
        <v>0</v>
      </c>
      <c r="H52" s="23" t="str">
        <f>AVERAGE(D52,E52,F52)</f>
        <v>#DIV/0!</v>
      </c>
      <c r="I52" s="4"/>
      <c r="J52" s="24">
        <v>0.3</v>
      </c>
      <c r="K52" s="25"/>
      <c r="L52" s="26" t="str">
        <f>H52*J52</f>
        <v>#DIV/0!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4" t="s">
        <v>171</v>
      </c>
      <c r="F53" s="14" t="s">
        <v>143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/>
      <c r="E54" s="21"/>
      <c r="F54" s="21"/>
      <c r="G54" s="22">
        <f>SUM(D54,E54,F54)</f>
        <v>0</v>
      </c>
      <c r="H54" s="23" t="str">
        <f>AVERAGE(D54,E54,F54)</f>
        <v>#DIV/0!</v>
      </c>
      <c r="I54" s="4"/>
      <c r="J54" s="37">
        <v>0.5</v>
      </c>
      <c r="K54" s="38"/>
      <c r="L54" s="26" t="str">
        <f>H54*J54</f>
        <v>#DIV/0!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 t="str">
        <f>SUM(H4:H54)</f>
        <v>#DIV/0!</v>
      </c>
      <c r="I55" s="42"/>
      <c r="J55" s="43" t="s">
        <v>6</v>
      </c>
      <c r="K55" s="40"/>
      <c r="L55" s="44" t="str">
        <f>SUM(L4:L54)</f>
        <v>#DIV/0!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219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/>
      <c r="E58" s="21"/>
      <c r="F58" s="21"/>
      <c r="G58" s="22">
        <f>SUM(D58,E58,F58)</f>
        <v>0</v>
      </c>
      <c r="H58" s="23" t="str">
        <f>AVERAGE(D58,E58,F58)</f>
        <v>#DIV/0!</v>
      </c>
      <c r="I58" s="4"/>
      <c r="J58" s="24">
        <v>4.0</v>
      </c>
      <c r="K58" s="25"/>
      <c r="L58" s="26" t="str">
        <f>H58*J58</f>
        <v>#DIV/0!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/>
      <c r="E60" s="21"/>
      <c r="F60" s="35"/>
      <c r="G60" s="22">
        <f>SUM(D60,E60,F60)</f>
        <v>0</v>
      </c>
      <c r="H60" s="23" t="str">
        <f>AVERAGE(D60,E60,F60)</f>
        <v>#DIV/0!</v>
      </c>
      <c r="I60" s="4"/>
      <c r="J60" s="24">
        <v>15.0</v>
      </c>
      <c r="K60" s="25"/>
      <c r="L60" s="26" t="str">
        <f>H60*J60</f>
        <v>#DIV/0!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148</v>
      </c>
      <c r="F61" s="13" t="s">
        <v>149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/>
      <c r="E62" s="21"/>
      <c r="F62" s="21"/>
      <c r="G62" s="22">
        <f>SUM(D62,E62,F62)</f>
        <v>0</v>
      </c>
      <c r="H62" s="23" t="str">
        <f>AVERAGE(D62,E62,F62)</f>
        <v>#DIV/0!</v>
      </c>
      <c r="I62" s="4"/>
      <c r="J62" s="24">
        <v>2.0</v>
      </c>
      <c r="K62" s="25"/>
      <c r="L62" s="26" t="str">
        <f>H62*J62</f>
        <v>#DIV/0!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4" t="s">
        <v>220</v>
      </c>
      <c r="F63" s="13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/>
      <c r="E64" s="21"/>
      <c r="F64" s="21"/>
      <c r="G64" s="22">
        <f>SUM(D64,E64,F64)</f>
        <v>0</v>
      </c>
      <c r="H64" s="23" t="str">
        <f>AVERAGE(D64,E64,F64)</f>
        <v>#DIV/0!</v>
      </c>
      <c r="I64" s="4"/>
      <c r="J64" s="24">
        <v>2.0</v>
      </c>
      <c r="K64" s="25"/>
      <c r="L64" s="26" t="str">
        <f>H64*J64</f>
        <v>#DIV/0!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9" t="s">
        <v>106</v>
      </c>
      <c r="B65" s="32"/>
      <c r="C65" s="32"/>
      <c r="D65" s="32"/>
      <c r="E65" s="32"/>
      <c r="F65" s="32"/>
      <c r="G65" s="40"/>
      <c r="H65" s="41" t="str">
        <f>SUM(H57:H64)</f>
        <v>#DIV/0!</v>
      </c>
      <c r="I65" s="42"/>
      <c r="J65" s="43" t="s">
        <v>6</v>
      </c>
      <c r="K65" s="40"/>
      <c r="L65" s="44" t="str">
        <f>SUM(L57:L64)</f>
        <v>#DIV/0!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221</v>
      </c>
      <c r="F67" s="14" t="s">
        <v>150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/>
      <c r="E68" s="21"/>
      <c r="F68" s="35"/>
      <c r="G68" s="22">
        <f>SUM(D68,E68,F68)</f>
        <v>0</v>
      </c>
      <c r="H68" s="23" t="str">
        <f>AVERAGE(D68,E68,F68)</f>
        <v>#DIV/0!</v>
      </c>
      <c r="I68" s="4"/>
      <c r="J68" s="24">
        <v>3.0</v>
      </c>
      <c r="K68" s="25"/>
      <c r="L68" s="26" t="str">
        <f>H68*J68</f>
        <v>#DIV/0!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/>
      <c r="E70" s="21"/>
      <c r="F70" s="35"/>
      <c r="G70" s="22">
        <f>SUM(D70,E70,F70)</f>
        <v>0</v>
      </c>
      <c r="H70" s="23" t="str">
        <f>AVERAGE(D70,E70,F70)</f>
        <v>#DIV/0!</v>
      </c>
      <c r="I70" s="4"/>
      <c r="J70" s="24">
        <v>2.0</v>
      </c>
      <c r="K70" s="25"/>
      <c r="L70" s="26" t="str">
        <f>H70*J70</f>
        <v>#DIV/0!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0" t="s">
        <v>117</v>
      </c>
      <c r="F71" s="13" t="s">
        <v>192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/>
      <c r="E72" s="21"/>
      <c r="F72" s="21"/>
      <c r="G72" s="22">
        <f>SUM(D72,E72,F72)</f>
        <v>0</v>
      </c>
      <c r="H72" s="23" t="str">
        <f>AVERAGE(D72,E72,F72)</f>
        <v>#DIV/0!</v>
      </c>
      <c r="I72" s="4"/>
      <c r="J72" s="24">
        <v>10.0</v>
      </c>
      <c r="K72" s="25"/>
      <c r="L72" s="26" t="str">
        <f>H72*J72</f>
        <v>#DIV/0!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121</v>
      </c>
      <c r="F73" s="13" t="s">
        <v>222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/>
      <c r="E74" s="21"/>
      <c r="F74" s="21"/>
      <c r="G74" s="22">
        <f>SUM(D74,E74,F74)</f>
        <v>0</v>
      </c>
      <c r="H74" s="23" t="str">
        <f>AVERAGE(D74,E74,F74)</f>
        <v>#DIV/0!</v>
      </c>
      <c r="I74" s="4"/>
      <c r="J74" s="24">
        <v>2.0</v>
      </c>
      <c r="K74" s="25"/>
      <c r="L74" s="26" t="str">
        <f>H74*J74</f>
        <v>#DIV/0!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4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/>
      <c r="E76" s="21"/>
      <c r="F76" s="35"/>
      <c r="G76" s="22">
        <f>SUM(D76,E76,F76)</f>
        <v>0</v>
      </c>
      <c r="H76" s="23" t="str">
        <f>AVERAGE(D76,E76,F76)</f>
        <v>#DIV/0!</v>
      </c>
      <c r="I76" s="4"/>
      <c r="J76" s="24">
        <v>1.0</v>
      </c>
      <c r="K76" s="25"/>
      <c r="L76" s="26" t="str">
        <f>H76*J76</f>
        <v>#DIV/0!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 t="str">
        <f>SUM(H68:H76)</f>
        <v>#DIV/0!</v>
      </c>
      <c r="I77" s="42"/>
      <c r="J77" s="43" t="s">
        <v>6</v>
      </c>
      <c r="K77" s="40"/>
      <c r="L77" s="49" t="str">
        <f>SUM(L68:L76)</f>
        <v>#DIV/0!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 t="str">
        <f>H55+H65+H77</f>
        <v>#DIV/0!</v>
      </c>
      <c r="I80" s="4"/>
      <c r="J80" s="4"/>
      <c r="K80" s="54" t="s">
        <v>6</v>
      </c>
      <c r="L80" s="49" t="str">
        <f>L55+L65+L77</f>
        <v>#DIV/0!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223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224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/>
      <c r="E4" s="21"/>
      <c r="F4" s="21"/>
      <c r="G4" s="22">
        <f>SUM(D4,E4,F4)</f>
        <v>0</v>
      </c>
      <c r="H4" s="23" t="str">
        <f>AVERAGE(D4,E4,F4)</f>
        <v>#DIV/0!</v>
      </c>
      <c r="I4" s="16"/>
      <c r="J4" s="24">
        <v>3.0</v>
      </c>
      <c r="K4" s="25" t="s">
        <v>11</v>
      </c>
      <c r="L4" s="26" t="str">
        <f>H4*J4</f>
        <v>#DIV/0!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4" t="s">
        <v>225</v>
      </c>
      <c r="F5" s="14" t="s">
        <v>127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/>
      <c r="E6" s="21"/>
      <c r="F6" s="21"/>
      <c r="G6" s="22">
        <f>SUM(D6,E6,F6)</f>
        <v>0</v>
      </c>
      <c r="H6" s="23" t="str">
        <f>AVERAGE(D6,E6,F6)</f>
        <v>#DIV/0!</v>
      </c>
      <c r="I6" s="16"/>
      <c r="J6" s="24">
        <v>4.0</v>
      </c>
      <c r="K6" s="25"/>
      <c r="L6" s="26" t="str">
        <f>H6*J6</f>
        <v>#DIV/0!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129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/>
      <c r="E8" s="35"/>
      <c r="F8" s="35"/>
      <c r="G8" s="22">
        <f>SUM(D8,E8,F8)</f>
        <v>0</v>
      </c>
      <c r="H8" s="23" t="str">
        <f>AVERAGE(D8,E8,F8)</f>
        <v>#DIV/0!</v>
      </c>
      <c r="I8" s="16"/>
      <c r="J8" s="24">
        <v>2.0</v>
      </c>
      <c r="K8" s="25"/>
      <c r="L8" s="26" t="str">
        <f>H8*J8</f>
        <v>#DIV/0!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4" t="s">
        <v>130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/>
      <c r="E10" s="21"/>
      <c r="F10" s="21"/>
      <c r="G10" s="22">
        <f>SUM(D10,E10,F10)</f>
        <v>0</v>
      </c>
      <c r="H10" s="23" t="str">
        <f>AVERAGE(D10,E10,F10)</f>
        <v>#DIV/0!</v>
      </c>
      <c r="I10" s="16"/>
      <c r="J10" s="24">
        <v>3.0</v>
      </c>
      <c r="K10" s="25"/>
      <c r="L10" s="26" t="str">
        <f>H10*J10</f>
        <v>#DIV/0!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/>
      <c r="E12" s="35"/>
      <c r="F12" s="21"/>
      <c r="G12" s="22">
        <f>SUM(D12,E12,F12)</f>
        <v>0</v>
      </c>
      <c r="H12" s="23" t="str">
        <f>AVERAGE(D12,E12,F12)</f>
        <v>#DIV/0!</v>
      </c>
      <c r="I12" s="16"/>
      <c r="J12" s="24">
        <v>3.0</v>
      </c>
      <c r="K12" s="25"/>
      <c r="L12" s="26" t="str">
        <f>H12*J12</f>
        <v>#DIV/0!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4" t="s">
        <v>3</v>
      </c>
      <c r="E13" s="34" t="s">
        <v>175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/>
      <c r="F14" s="21"/>
      <c r="G14" s="22">
        <f>SUM(D14,E14,F14)</f>
        <v>0</v>
      </c>
      <c r="H14" s="23" t="str">
        <f>AVERAGE(D14,E14,F14)</f>
        <v>#DIV/0!</v>
      </c>
      <c r="I14" s="16"/>
      <c r="J14" s="24">
        <v>1.0</v>
      </c>
      <c r="K14" s="25"/>
      <c r="L14" s="26" t="str">
        <f>H14*J14</f>
        <v>#DIV/0!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/>
      <c r="E16" s="35"/>
      <c r="F16" s="35"/>
      <c r="G16" s="22">
        <f>SUM(D16,E16,F16)</f>
        <v>0</v>
      </c>
      <c r="H16" s="23" t="str">
        <f>AVERAGE(D16,E16,F16)</f>
        <v>#DIV/0!</v>
      </c>
      <c r="I16" s="16"/>
      <c r="J16" s="24">
        <v>4.0</v>
      </c>
      <c r="K16" s="25"/>
      <c r="L16" s="26" t="str">
        <f>H16*J16</f>
        <v>#DIV/0!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/>
      <c r="E18" s="35"/>
      <c r="F18" s="35"/>
      <c r="G18" s="22">
        <f>SUM(D18,E18,F18)</f>
        <v>0</v>
      </c>
      <c r="H18" s="23" t="str">
        <f>AVERAGE(D18,E18,F18)</f>
        <v>#DIV/0!</v>
      </c>
      <c r="I18" s="16"/>
      <c r="J18" s="24">
        <v>1.0</v>
      </c>
      <c r="K18" s="25"/>
      <c r="L18" s="26" t="str">
        <f>H18*J18</f>
        <v>#DIV/0!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/>
      <c r="E20" s="35"/>
      <c r="F20" s="35"/>
      <c r="G20" s="22">
        <f>SUM(D20,E20,F20)</f>
        <v>0</v>
      </c>
      <c r="H20" s="23" t="str">
        <f>AVERAGE(D20,E20,F20)</f>
        <v>#DIV/0!</v>
      </c>
      <c r="I20" s="16"/>
      <c r="J20" s="24">
        <v>9.0</v>
      </c>
      <c r="K20" s="25"/>
      <c r="L20" s="26" t="str">
        <f>H20*J20</f>
        <v>#DIV/0!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4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/>
      <c r="E22" s="35"/>
      <c r="F22" s="35"/>
      <c r="G22" s="22">
        <f>SUM(D22,E22,F22)</f>
        <v>0</v>
      </c>
      <c r="H22" s="23" t="str">
        <f>AVERAGE(D22,E22,F22)</f>
        <v>#DIV/0!</v>
      </c>
      <c r="I22" s="16"/>
      <c r="J22" s="24">
        <v>0.2</v>
      </c>
      <c r="K22" s="25"/>
      <c r="L22" s="26" t="str">
        <f>H22*J22</f>
        <v>#DIV/0!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/>
      <c r="E24" s="35"/>
      <c r="F24" s="35"/>
      <c r="G24" s="22">
        <f>SUM(D24,E24,F24)</f>
        <v>0</v>
      </c>
      <c r="H24" s="23" t="str">
        <f>AVERAGE(D24,E24,F24)</f>
        <v>#DIV/0!</v>
      </c>
      <c r="I24" s="4"/>
      <c r="J24" s="24">
        <v>3.0</v>
      </c>
      <c r="K24" s="25"/>
      <c r="L24" s="26" t="str">
        <f>H24*J24</f>
        <v>#DIV/0!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4" t="s">
        <v>226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35"/>
      <c r="F26" s="21"/>
      <c r="G26" s="22">
        <f>SUM(D26,E26,F26)</f>
        <v>0</v>
      </c>
      <c r="H26" s="23" t="str">
        <f>AVERAGE(D26,E26,F26)</f>
        <v>#DIV/0!</v>
      </c>
      <c r="I26" s="4"/>
      <c r="J26" s="24">
        <v>4.0</v>
      </c>
      <c r="K26" s="25"/>
      <c r="L26" s="26" t="str">
        <f>H26*J26</f>
        <v>#DIV/0!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90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35"/>
      <c r="E28" s="21"/>
      <c r="F28" s="21"/>
      <c r="G28" s="22">
        <f>SUM(D28,E28,F28)</f>
        <v>0</v>
      </c>
      <c r="H28" s="23" t="str">
        <f>AVERAGE(D28,E28,F28)</f>
        <v>#DIV/0!</v>
      </c>
      <c r="I28" s="4"/>
      <c r="J28" s="24">
        <v>2.0</v>
      </c>
      <c r="K28" s="25"/>
      <c r="L28" s="26" t="str">
        <f>H28*J28</f>
        <v>#DIV/0!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/>
      <c r="E30" s="35"/>
      <c r="F30" s="35"/>
      <c r="G30" s="22">
        <f>SUM(D30,E30,F30)</f>
        <v>0</v>
      </c>
      <c r="H30" s="23" t="str">
        <f>AVERAGE(D30,E30,F30)</f>
        <v>#DIV/0!</v>
      </c>
      <c r="I30" s="4"/>
      <c r="J30" s="24">
        <v>6.0</v>
      </c>
      <c r="K30" s="25"/>
      <c r="L30" s="26" t="str">
        <f>H30*J30</f>
        <v>#DIV/0!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/>
      <c r="E32" s="21"/>
      <c r="F32" s="35"/>
      <c r="G32" s="22">
        <f>SUM(D32,E32,F32)</f>
        <v>0</v>
      </c>
      <c r="H32" s="23" t="str">
        <f>AVERAGE(D32,E32,F32)</f>
        <v>#DIV/0!</v>
      </c>
      <c r="I32" s="4"/>
      <c r="J32" s="24">
        <v>7.5</v>
      </c>
      <c r="K32" s="25"/>
      <c r="L32" s="26" t="str">
        <f>H32*J32</f>
        <v>#DIV/0!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0" t="s">
        <v>134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/>
      <c r="E34" s="35"/>
      <c r="F34" s="35"/>
      <c r="G34" s="22">
        <f>SUM(D34,E34,F34)</f>
        <v>0</v>
      </c>
      <c r="H34" s="23" t="str">
        <f>AVERAGE(D34,E34,F34)</f>
        <v>#DIV/0!</v>
      </c>
      <c r="I34" s="4"/>
      <c r="J34" s="24">
        <v>5.0</v>
      </c>
      <c r="K34" s="25"/>
      <c r="L34" s="26" t="str">
        <f>H34*J34</f>
        <v>#DIV/0!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/>
      <c r="E36" s="21"/>
      <c r="F36" s="35"/>
      <c r="G36" s="22">
        <f>SUM(D36,E36,F36)</f>
        <v>0</v>
      </c>
      <c r="H36" s="23" t="str">
        <f>AVERAGE(D36,E36,F36)</f>
        <v>#DIV/0!</v>
      </c>
      <c r="I36" s="4"/>
      <c r="J36" s="24">
        <v>7.5</v>
      </c>
      <c r="K36" s="25"/>
      <c r="L36" s="26" t="str">
        <f>H36*J36</f>
        <v>#DIV/0!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179</v>
      </c>
      <c r="C37" s="29"/>
      <c r="D37" s="30" t="s">
        <v>61</v>
      </c>
      <c r="E37" s="34" t="s">
        <v>227</v>
      </c>
      <c r="F37" s="13" t="s">
        <v>228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/>
      <c r="E38" s="21"/>
      <c r="F38" s="21"/>
      <c r="G38" s="22">
        <f>SUM(D38,E38,F38)</f>
        <v>0</v>
      </c>
      <c r="H38" s="23" t="str">
        <f>AVERAGE(D38,E38,F38)</f>
        <v>#DIV/0!</v>
      </c>
      <c r="I38" s="4"/>
      <c r="J38" s="24">
        <v>3.0</v>
      </c>
      <c r="K38" s="25"/>
      <c r="L38" s="26" t="str">
        <f>H38*J38</f>
        <v>#DIV/0!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229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/>
      <c r="E40" s="21"/>
      <c r="F40" s="21"/>
      <c r="G40" s="22">
        <f>SUM(D40,E40,F40)</f>
        <v>0</v>
      </c>
      <c r="H40" s="23" t="str">
        <f>AVERAGE(D40,E40,F40)</f>
        <v>#DIV/0!</v>
      </c>
      <c r="I40" s="4"/>
      <c r="J40" s="24">
        <v>4.0</v>
      </c>
      <c r="K40" s="25"/>
      <c r="L40" s="26" t="str">
        <f>H40*J40</f>
        <v>#DIV/0!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3" t="s">
        <v>230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/>
      <c r="G42" s="22">
        <f>SUM(D42,E42,F42)</f>
        <v>0</v>
      </c>
      <c r="H42" s="23" t="str">
        <f>AVERAGE(D42,E42,F42)</f>
        <v>#DIV/0!</v>
      </c>
      <c r="I42" s="4"/>
      <c r="J42" s="24">
        <v>4.0</v>
      </c>
      <c r="K42" s="25"/>
      <c r="L42" s="26" t="str">
        <f>H42*J42</f>
        <v>#DIV/0!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4" t="s">
        <v>231</v>
      </c>
      <c r="F43" s="14" t="s">
        <v>138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/>
      <c r="E44" s="21"/>
      <c r="F44" s="21"/>
      <c r="G44" s="22">
        <f>SUM(D44,E44,F44)</f>
        <v>0</v>
      </c>
      <c r="H44" s="23" t="str">
        <f>AVERAGE(D44,E44,F44)</f>
        <v>#DIV/0!</v>
      </c>
      <c r="I44" s="4"/>
      <c r="J44" s="24">
        <v>3.0</v>
      </c>
      <c r="K44" s="25"/>
      <c r="L44" s="26" t="str">
        <f>H44*J44</f>
        <v>#DIV/0!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4" t="s">
        <v>232</v>
      </c>
      <c r="E45" s="30" t="s">
        <v>78</v>
      </c>
      <c r="F45" s="14" t="s">
        <v>139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/>
      <c r="E46" s="21"/>
      <c r="F46" s="35"/>
      <c r="G46" s="22">
        <f>SUM(D46,E46,F46)</f>
        <v>0</v>
      </c>
      <c r="H46" s="23" t="str">
        <f>AVERAGE(D46,E46,F46)</f>
        <v>#DIV/0!</v>
      </c>
      <c r="I46" s="4"/>
      <c r="J46" s="24">
        <v>4.0</v>
      </c>
      <c r="K46" s="25"/>
      <c r="L46" s="26" t="str">
        <f>H46*J46</f>
        <v>#DIV/0!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0" t="s">
        <v>84</v>
      </c>
      <c r="E47" s="30" t="s">
        <v>82</v>
      </c>
      <c r="F47" s="13" t="s">
        <v>233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/>
      <c r="E48" s="35"/>
      <c r="F48" s="21"/>
      <c r="G48" s="22">
        <f>SUM(D48,E48,F48)</f>
        <v>0</v>
      </c>
      <c r="H48" s="23" t="str">
        <f>AVERAGE(D48,E48,F48)</f>
        <v>#DIV/0!</v>
      </c>
      <c r="I48" s="4"/>
      <c r="J48" s="24">
        <v>5.0</v>
      </c>
      <c r="K48" s="25"/>
      <c r="L48" s="26" t="str">
        <f>H48*J48</f>
        <v>#DIV/0!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4" t="s">
        <v>168</v>
      </c>
      <c r="E49" s="30" t="s">
        <v>82</v>
      </c>
      <c r="F49" s="13" t="s">
        <v>140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/>
      <c r="E50" s="35"/>
      <c r="F50" s="21"/>
      <c r="G50" s="22">
        <f>SUM(D50,E50,F50)</f>
        <v>0</v>
      </c>
      <c r="H50" s="23" t="str">
        <f>AVERAGE(D50,E50,F50)</f>
        <v>#DIV/0!</v>
      </c>
      <c r="I50" s="4"/>
      <c r="J50" s="24">
        <v>0.5</v>
      </c>
      <c r="K50" s="25"/>
      <c r="L50" s="26" t="str">
        <f>H50*J50</f>
        <v>#DIV/0!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4" t="s">
        <v>140</v>
      </c>
      <c r="E51" s="30" t="s">
        <v>82</v>
      </c>
      <c r="F51" s="14" t="s">
        <v>141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/>
      <c r="E52" s="35"/>
      <c r="F52" s="21"/>
      <c r="G52" s="22">
        <f>SUM(D52,E52,F52)</f>
        <v>0</v>
      </c>
      <c r="H52" s="23" t="str">
        <f>AVERAGE(D52,E52,F52)</f>
        <v>#DIV/0!</v>
      </c>
      <c r="I52" s="4"/>
      <c r="J52" s="24">
        <v>0.3</v>
      </c>
      <c r="K52" s="25"/>
      <c r="L52" s="26" t="str">
        <f>H52*J52</f>
        <v>#DIV/0!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0" t="s">
        <v>90</v>
      </c>
      <c r="F53" s="13" t="s">
        <v>169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/>
      <c r="E54" s="21"/>
      <c r="F54" s="21"/>
      <c r="G54" s="22">
        <f>SUM(D54,E54,F54)</f>
        <v>0</v>
      </c>
      <c r="H54" s="23" t="str">
        <f>AVERAGE(D54,E54,F54)</f>
        <v>#DIV/0!</v>
      </c>
      <c r="I54" s="4"/>
      <c r="J54" s="37">
        <v>0.5</v>
      </c>
      <c r="K54" s="38"/>
      <c r="L54" s="26" t="str">
        <f>H54*J54</f>
        <v>#DIV/0!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 t="str">
        <f>SUM(H4:H54)</f>
        <v>#DIV/0!</v>
      </c>
      <c r="I55" s="42"/>
      <c r="J55" s="43" t="s">
        <v>6</v>
      </c>
      <c r="K55" s="40"/>
      <c r="L55" s="44" t="str">
        <f>SUM(L4:L54)</f>
        <v>#DIV/0!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186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/>
      <c r="E58" s="21"/>
      <c r="F58" s="35"/>
      <c r="G58" s="22">
        <f>SUM(D58,E58,F58)</f>
        <v>0</v>
      </c>
      <c r="H58" s="23" t="str">
        <f>AVERAGE(D58,E58,F58)</f>
        <v>#DIV/0!</v>
      </c>
      <c r="I58" s="4"/>
      <c r="J58" s="24">
        <v>4.0</v>
      </c>
      <c r="K58" s="25"/>
      <c r="L58" s="26" t="str">
        <f>H58*J58</f>
        <v>#DIV/0!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/>
      <c r="E60" s="21"/>
      <c r="F60" s="35"/>
      <c r="G60" s="22">
        <f>SUM(D60,E60,F60)</f>
        <v>0</v>
      </c>
      <c r="H60" s="23" t="str">
        <f>AVERAGE(D60,E60,F60)</f>
        <v>#DIV/0!</v>
      </c>
      <c r="I60" s="4"/>
      <c r="J60" s="24">
        <v>15.0</v>
      </c>
      <c r="K60" s="25"/>
      <c r="L60" s="26" t="str">
        <f>H60*J60</f>
        <v>#DIV/0!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147</v>
      </c>
      <c r="F61" s="14" t="s">
        <v>148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/>
      <c r="E62" s="21"/>
      <c r="F62" s="21"/>
      <c r="G62" s="22">
        <f>SUM(D62,E62,F62)</f>
        <v>0</v>
      </c>
      <c r="H62" s="23" t="str">
        <f>AVERAGE(D62,E62,F62)</f>
        <v>#DIV/0!</v>
      </c>
      <c r="I62" s="4"/>
      <c r="J62" s="24">
        <v>2.0</v>
      </c>
      <c r="K62" s="25"/>
      <c r="L62" s="26" t="str">
        <f>H62*J62</f>
        <v>#DIV/0!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3" t="s">
        <v>162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/>
      <c r="E64" s="21"/>
      <c r="F64" s="21"/>
      <c r="G64" s="22">
        <f>SUM(D64,E64,F64)</f>
        <v>0</v>
      </c>
      <c r="H64" s="23" t="str">
        <f>AVERAGE(D64,E64,F64)</f>
        <v>#DIV/0!</v>
      </c>
      <c r="I64" s="4"/>
      <c r="J64" s="24">
        <v>2.0</v>
      </c>
      <c r="K64" s="25"/>
      <c r="L64" s="26" t="str">
        <f>H64*J64</f>
        <v>#DIV/0!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 t="str">
        <f>SUM(H57:H64)</f>
        <v>#DIV/0!</v>
      </c>
      <c r="I65" s="42"/>
      <c r="J65" s="43" t="s">
        <v>6</v>
      </c>
      <c r="K65" s="40"/>
      <c r="L65" s="44" t="str">
        <f>SUM(L57:L64)</f>
        <v>#DIV/0!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4" t="s">
        <v>149</v>
      </c>
      <c r="E67" s="34" t="s">
        <v>234</v>
      </c>
      <c r="F67" s="14" t="s">
        <v>150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/>
      <c r="E68" s="21"/>
      <c r="F68" s="21"/>
      <c r="G68" s="22">
        <f>SUM(D68,E68,F68)</f>
        <v>0</v>
      </c>
      <c r="H68" s="23" t="str">
        <f>AVERAGE(D68,E68,F68)</f>
        <v>#DIV/0!</v>
      </c>
      <c r="I68" s="4"/>
      <c r="J68" s="24">
        <v>3.0</v>
      </c>
      <c r="K68" s="25"/>
      <c r="L68" s="26" t="str">
        <f>H68*J68</f>
        <v>#DIV/0!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/>
      <c r="E70" s="21"/>
      <c r="F70" s="35"/>
      <c r="G70" s="22">
        <f>SUM(D70,E70,F70)</f>
        <v>0</v>
      </c>
      <c r="H70" s="23" t="str">
        <f>AVERAGE(D70,E70,F70)</f>
        <v>#DIV/0!</v>
      </c>
      <c r="I70" s="4"/>
      <c r="J70" s="24">
        <v>2.0</v>
      </c>
      <c r="K70" s="25"/>
      <c r="L70" s="26" t="str">
        <f>H70*J70</f>
        <v>#DIV/0!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4" t="s">
        <v>235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/>
      <c r="E72" s="21"/>
      <c r="F72" s="21"/>
      <c r="G72" s="22">
        <f>SUM(D72,E72,F72)</f>
        <v>0</v>
      </c>
      <c r="H72" s="23" t="str">
        <f>AVERAGE(D72,E72,F72)</f>
        <v>#DIV/0!</v>
      </c>
      <c r="I72" s="4"/>
      <c r="J72" s="24">
        <v>10.0</v>
      </c>
      <c r="K72" s="25"/>
      <c r="L72" s="26" t="str">
        <f>H72*J72</f>
        <v>#DIV/0!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121</v>
      </c>
      <c r="E73" s="34" t="s">
        <v>152</v>
      </c>
      <c r="F73" s="13" t="s">
        <v>236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/>
      <c r="E74" s="21"/>
      <c r="F74" s="21"/>
      <c r="G74" s="22">
        <f>SUM(D74,E74,F74)</f>
        <v>0</v>
      </c>
      <c r="H74" s="23" t="str">
        <f>AVERAGE(D74,E74,F74)</f>
        <v>#DIV/0!</v>
      </c>
      <c r="I74" s="4"/>
      <c r="J74" s="24">
        <v>2.0</v>
      </c>
      <c r="K74" s="25"/>
      <c r="L74" s="26" t="str">
        <f>H74*J74</f>
        <v>#DIV/0!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4" t="s">
        <v>237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/>
      <c r="E76" s="21"/>
      <c r="F76" s="35"/>
      <c r="G76" s="22">
        <f>SUM(D76,E76,F76)</f>
        <v>0</v>
      </c>
      <c r="H76" s="23" t="str">
        <f>AVERAGE(D76,E76,F76)</f>
        <v>#DIV/0!</v>
      </c>
      <c r="I76" s="4"/>
      <c r="J76" s="24">
        <v>1.0</v>
      </c>
      <c r="K76" s="25"/>
      <c r="L76" s="26" t="str">
        <f>H76*J76</f>
        <v>#DIV/0!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 t="str">
        <f>SUM(H68:H76)</f>
        <v>#DIV/0!</v>
      </c>
      <c r="I77" s="42"/>
      <c r="J77" s="43" t="s">
        <v>6</v>
      </c>
      <c r="K77" s="40"/>
      <c r="L77" s="49" t="str">
        <f>SUM(L68:L76)</f>
        <v>#DIV/0!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 t="str">
        <f>H55+H65+H77</f>
        <v>#DIV/0!</v>
      </c>
      <c r="I80" s="4"/>
      <c r="J80" s="4"/>
      <c r="K80" s="54" t="s">
        <v>6</v>
      </c>
      <c r="L80" s="49" t="str">
        <f>L55+L65+L77</f>
        <v>#DIV/0!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07" t="s">
        <v>238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/>
      <c r="E4" s="21"/>
      <c r="F4" s="21"/>
      <c r="G4" s="22">
        <f>SUM(D4,E4,F4)</f>
        <v>0</v>
      </c>
      <c r="H4" s="23" t="str">
        <f>AVERAGE(D4,E4,F4)</f>
        <v>#DIV/0!</v>
      </c>
      <c r="I4" s="16"/>
      <c r="J4" s="24">
        <v>3.0</v>
      </c>
      <c r="K4" s="25" t="s">
        <v>11</v>
      </c>
      <c r="L4" s="26" t="str">
        <f>H4*J4</f>
        <v>#DIV/0!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4" t="s">
        <v>127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/>
      <c r="E6" s="35"/>
      <c r="F6" s="35"/>
      <c r="G6" s="22">
        <f>SUM(D6,E6,F6)</f>
        <v>0</v>
      </c>
      <c r="H6" s="23" t="str">
        <f>AVERAGE(D6,E6,F6)</f>
        <v>#DIV/0!</v>
      </c>
      <c r="I6" s="16"/>
      <c r="J6" s="24">
        <v>4.0</v>
      </c>
      <c r="K6" s="25"/>
      <c r="L6" s="26" t="str">
        <f>H6*J6</f>
        <v>#DIV/0!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129</v>
      </c>
      <c r="F7" s="13" t="s">
        <v>239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/>
      <c r="E8" s="35"/>
      <c r="F8" s="21"/>
      <c r="G8" s="22">
        <f>SUM(D8,E8,F8)</f>
        <v>0</v>
      </c>
      <c r="H8" s="23" t="str">
        <f>AVERAGE(D8,E8,F8)</f>
        <v>#DIV/0!</v>
      </c>
      <c r="I8" s="16"/>
      <c r="J8" s="24">
        <v>2.0</v>
      </c>
      <c r="K8" s="25"/>
      <c r="L8" s="26" t="str">
        <f>H8*J8</f>
        <v>#DIV/0!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4" t="s">
        <v>130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/>
      <c r="E10" s="21"/>
      <c r="F10" s="21"/>
      <c r="G10" s="22">
        <f>SUM(D10,E10,F10)</f>
        <v>0</v>
      </c>
      <c r="H10" s="23" t="str">
        <f>AVERAGE(D10,E10,F10)</f>
        <v>#DIV/0!</v>
      </c>
      <c r="I10" s="16"/>
      <c r="J10" s="24">
        <v>3.0</v>
      </c>
      <c r="K10" s="25"/>
      <c r="L10" s="26" t="str">
        <f>H10*J10</f>
        <v>#DIV/0!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/>
      <c r="E12" s="35"/>
      <c r="F12" s="21"/>
      <c r="G12" s="22">
        <f>SUM(D12,E12,F12)</f>
        <v>0</v>
      </c>
      <c r="H12" s="23" t="str">
        <f>AVERAGE(D12,E12,F12)</f>
        <v>#DIV/0!</v>
      </c>
      <c r="I12" s="16"/>
      <c r="J12" s="24">
        <v>3.0</v>
      </c>
      <c r="K12" s="25"/>
      <c r="L12" s="26" t="str">
        <f>H12*J12</f>
        <v>#DIV/0!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0" t="s">
        <v>133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/>
      <c r="F14" s="21"/>
      <c r="G14" s="22">
        <f>SUM(D14,E14,F14)</f>
        <v>0</v>
      </c>
      <c r="H14" s="23" t="str">
        <f>AVERAGE(D14,E14,F14)</f>
        <v>#DIV/0!</v>
      </c>
      <c r="I14" s="16"/>
      <c r="J14" s="24">
        <v>1.0</v>
      </c>
      <c r="K14" s="25"/>
      <c r="L14" s="26" t="str">
        <f>H14*J14</f>
        <v>#DIV/0!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3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/>
      <c r="E16" s="35"/>
      <c r="F16" s="35"/>
      <c r="G16" s="22">
        <f>SUM(D16,E16,F16)</f>
        <v>0</v>
      </c>
      <c r="H16" s="23" t="str">
        <f>AVERAGE(D16,E16,F16)</f>
        <v>#DIV/0!</v>
      </c>
      <c r="I16" s="16"/>
      <c r="J16" s="24">
        <v>4.0</v>
      </c>
      <c r="K16" s="25"/>
      <c r="L16" s="26" t="str">
        <f>H16*J16</f>
        <v>#DIV/0!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/>
      <c r="E18" s="35"/>
      <c r="F18" s="35"/>
      <c r="G18" s="22">
        <f>SUM(D18,E18,F18)</f>
        <v>0</v>
      </c>
      <c r="H18" s="23" t="str">
        <f>AVERAGE(D18,E18,F18)</f>
        <v>#DIV/0!</v>
      </c>
      <c r="I18" s="16"/>
      <c r="J18" s="24">
        <v>1.0</v>
      </c>
      <c r="K18" s="25"/>
      <c r="L18" s="26" t="str">
        <f>H18*J18</f>
        <v>#DIV/0!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/>
      <c r="E20" s="35"/>
      <c r="F20" s="35"/>
      <c r="G20" s="22">
        <f>SUM(D20,E20,F20)</f>
        <v>0</v>
      </c>
      <c r="H20" s="23" t="str">
        <f>AVERAGE(D20,E20,F20)</f>
        <v>#DIV/0!</v>
      </c>
      <c r="I20" s="16"/>
      <c r="J20" s="24">
        <v>9.0</v>
      </c>
      <c r="K20" s="25"/>
      <c r="L20" s="26" t="str">
        <f>H20*J20</f>
        <v>#DIV/0!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/>
      <c r="E22" s="35"/>
      <c r="F22" s="35"/>
      <c r="G22" s="22">
        <f>SUM(D22,E22,F22)</f>
        <v>0</v>
      </c>
      <c r="H22" s="23" t="str">
        <f>AVERAGE(D22,E22,F22)</f>
        <v>#DIV/0!</v>
      </c>
      <c r="I22" s="16"/>
      <c r="J22" s="24">
        <v>0.2</v>
      </c>
      <c r="K22" s="25"/>
      <c r="L22" s="26" t="str">
        <f>H22*J22</f>
        <v>#DIV/0!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/>
      <c r="E24" s="35"/>
      <c r="F24" s="35"/>
      <c r="G24" s="22">
        <f>SUM(D24,E24,F24)</f>
        <v>0</v>
      </c>
      <c r="H24" s="23" t="str">
        <f>AVERAGE(D24,E24,F24)</f>
        <v>#DIV/0!</v>
      </c>
      <c r="I24" s="4"/>
      <c r="J24" s="24">
        <v>3.0</v>
      </c>
      <c r="K24" s="25"/>
      <c r="L24" s="26" t="str">
        <f>H24*J24</f>
        <v>#DIV/0!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4" t="s">
        <v>240</v>
      </c>
      <c r="F25" s="13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21"/>
      <c r="F26" s="21"/>
      <c r="G26" s="22">
        <f>SUM(D26,E26,F26)</f>
        <v>0</v>
      </c>
      <c r="H26" s="23" t="str">
        <f>AVERAGE(D26,E26,F26)</f>
        <v>#DIV/0!</v>
      </c>
      <c r="I26" s="4"/>
      <c r="J26" s="24">
        <v>4.0</v>
      </c>
      <c r="K26" s="25"/>
      <c r="L26" s="26" t="str">
        <f>H26*J26</f>
        <v>#DIV/0!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35"/>
      <c r="E28" s="21"/>
      <c r="F28" s="21"/>
      <c r="G28" s="22">
        <f>SUM(D28,E28,F28)</f>
        <v>0</v>
      </c>
      <c r="H28" s="23" t="str">
        <f>AVERAGE(D28,E28,F28)</f>
        <v>#DIV/0!</v>
      </c>
      <c r="I28" s="4"/>
      <c r="J28" s="24">
        <v>2.0</v>
      </c>
      <c r="K28" s="25"/>
      <c r="L28" s="26" t="str">
        <f>H28*J28</f>
        <v>#DIV/0!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46" t="s">
        <v>241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/>
      <c r="E30" s="35"/>
      <c r="F30" s="35"/>
      <c r="G30" s="22">
        <f>SUM(D30,E30,F30)</f>
        <v>0</v>
      </c>
      <c r="H30" s="23" t="str">
        <f>AVERAGE(D30,E30,F30)</f>
        <v>#DIV/0!</v>
      </c>
      <c r="I30" s="4"/>
      <c r="J30" s="24">
        <v>6.0</v>
      </c>
      <c r="K30" s="25"/>
      <c r="L30" s="26" t="str">
        <f>H30*J30</f>
        <v>#DIV/0!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4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/>
      <c r="E32" s="21"/>
      <c r="F32" s="35"/>
      <c r="G32" s="22">
        <f>SUM(D32,E32,F32)</f>
        <v>0</v>
      </c>
      <c r="H32" s="23" t="str">
        <f>AVERAGE(D32,E32,F32)</f>
        <v>#DIV/0!</v>
      </c>
      <c r="I32" s="4"/>
      <c r="J32" s="24">
        <v>7.5</v>
      </c>
      <c r="K32" s="25"/>
      <c r="L32" s="26" t="str">
        <f>H32*J32</f>
        <v>#DIV/0!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4" t="s">
        <v>57</v>
      </c>
      <c r="E33" s="30" t="s">
        <v>134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/>
      <c r="E34" s="35"/>
      <c r="F34" s="35"/>
      <c r="G34" s="22">
        <f>SUM(D34,E34,F34)</f>
        <v>0</v>
      </c>
      <c r="H34" s="23" t="str">
        <f>AVERAGE(D34,E34,F34)</f>
        <v>#DIV/0!</v>
      </c>
      <c r="I34" s="4"/>
      <c r="J34" s="24">
        <v>5.0</v>
      </c>
      <c r="K34" s="25"/>
      <c r="L34" s="26" t="str">
        <f>H34*J34</f>
        <v>#DIV/0!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3" t="s">
        <v>65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/>
      <c r="E36" s="21"/>
      <c r="F36" s="21"/>
      <c r="G36" s="22">
        <f>SUM(D36,E36,F36)</f>
        <v>0</v>
      </c>
      <c r="H36" s="23" t="str">
        <f>AVERAGE(D36,E36,F36)</f>
        <v>#DIV/0!</v>
      </c>
      <c r="I36" s="4"/>
      <c r="J36" s="24">
        <v>7.5</v>
      </c>
      <c r="K36" s="25"/>
      <c r="L36" s="26" t="str">
        <f>H36*J36</f>
        <v>#DIV/0!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179</v>
      </c>
      <c r="C37" s="29"/>
      <c r="D37" s="30" t="s">
        <v>61</v>
      </c>
      <c r="E37" s="34" t="s">
        <v>135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/>
      <c r="E38" s="21"/>
      <c r="F38" s="35"/>
      <c r="G38" s="22">
        <f>SUM(D38,E38,F38)</f>
        <v>0</v>
      </c>
      <c r="H38" s="23" t="str">
        <f>AVERAGE(D38,E38,F38)</f>
        <v>#DIV/0!</v>
      </c>
      <c r="I38" s="4"/>
      <c r="J38" s="24">
        <v>3.0</v>
      </c>
      <c r="K38" s="25"/>
      <c r="L38" s="26" t="str">
        <f>H38*J38</f>
        <v>#DIV/0!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136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/>
      <c r="E40" s="21"/>
      <c r="F40" s="35"/>
      <c r="G40" s="22">
        <f>SUM(D40,E40,F40)</f>
        <v>0</v>
      </c>
      <c r="H40" s="23" t="str">
        <f>AVERAGE(D40,E40,F40)</f>
        <v>#DIV/0!</v>
      </c>
      <c r="I40" s="4"/>
      <c r="J40" s="24">
        <v>4.0</v>
      </c>
      <c r="K40" s="25"/>
      <c r="L40" s="26" t="str">
        <f>H40*J40</f>
        <v>#DIV/0!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137</v>
      </c>
      <c r="E41" s="30" t="s">
        <v>70</v>
      </c>
      <c r="F41" s="13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35"/>
      <c r="E42" s="21"/>
      <c r="F42" s="21"/>
      <c r="G42" s="22">
        <f>SUM(D42,E42,F42)</f>
        <v>0</v>
      </c>
      <c r="H42" s="23" t="str">
        <f>AVERAGE(D42,E42,F42)</f>
        <v>#DIV/0!</v>
      </c>
      <c r="I42" s="4"/>
      <c r="J42" s="24">
        <v>4.0</v>
      </c>
      <c r="K42" s="25"/>
      <c r="L42" s="26" t="str">
        <f>H42*J42</f>
        <v>#DIV/0!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3" t="s">
        <v>242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/>
      <c r="E44" s="21"/>
      <c r="F44" s="21"/>
      <c r="G44" s="22">
        <f>SUM(D44,E44,F44)</f>
        <v>0</v>
      </c>
      <c r="H44" s="23" t="str">
        <f>AVERAGE(D44,E44,F44)</f>
        <v>#DIV/0!</v>
      </c>
      <c r="I44" s="4"/>
      <c r="J44" s="24">
        <v>3.0</v>
      </c>
      <c r="K44" s="25"/>
      <c r="L44" s="26" t="str">
        <f>H44*J44</f>
        <v>#DIV/0!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3" t="s">
        <v>79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/>
      <c r="E46" s="21"/>
      <c r="F46" s="21"/>
      <c r="G46" s="22">
        <f>SUM(D46,E46,F46)</f>
        <v>0</v>
      </c>
      <c r="H46" s="23" t="str">
        <f>AVERAGE(D46,E46,F46)</f>
        <v>#DIV/0!</v>
      </c>
      <c r="I46" s="4"/>
      <c r="J46" s="24">
        <v>4.0</v>
      </c>
      <c r="K46" s="25"/>
      <c r="L46" s="26" t="str">
        <f>H46*J46</f>
        <v>#DIV/0!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46" t="s">
        <v>243</v>
      </c>
      <c r="C47" s="29"/>
      <c r="D47" s="34" t="s">
        <v>244</v>
      </c>
      <c r="E47" s="30" t="s">
        <v>82</v>
      </c>
      <c r="F47" s="13" t="s">
        <v>245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/>
      <c r="E48" s="21"/>
      <c r="F48" s="21"/>
      <c r="G48" s="22">
        <f>SUM(D48,E48,F48)</f>
        <v>0</v>
      </c>
      <c r="H48" s="23" t="str">
        <f>AVERAGE(D48,E48,F48)</f>
        <v>#DIV/0!</v>
      </c>
      <c r="I48" s="4"/>
      <c r="J48" s="24">
        <v>5.0</v>
      </c>
      <c r="K48" s="25"/>
      <c r="L48" s="26" t="str">
        <f>H48*J48</f>
        <v>#DIV/0!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/>
      <c r="E50" s="35"/>
      <c r="F50" s="21"/>
      <c r="G50" s="22">
        <f>SUM(D50,E50,F50)</f>
        <v>0</v>
      </c>
      <c r="H50" s="23" t="str">
        <f>AVERAGE(D50,E50,F50)</f>
        <v>#DIV/0!</v>
      </c>
      <c r="I50" s="4"/>
      <c r="J50" s="24">
        <v>0.5</v>
      </c>
      <c r="K50" s="25"/>
      <c r="L50" s="26" t="str">
        <f>H50*J50</f>
        <v>#DIV/0!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246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35"/>
      <c r="E52" s="35"/>
      <c r="F52" s="21"/>
      <c r="G52" s="22">
        <f>SUM(D52,E52,F52)</f>
        <v>0</v>
      </c>
      <c r="H52" s="23" t="str">
        <f>AVERAGE(D52,E52,F52)</f>
        <v>#DIV/0!</v>
      </c>
      <c r="I52" s="4"/>
      <c r="J52" s="24">
        <v>0.3</v>
      </c>
      <c r="K52" s="25"/>
      <c r="L52" s="26" t="str">
        <f>H52*J52</f>
        <v>#DIV/0!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4" t="s">
        <v>169</v>
      </c>
      <c r="E53" s="30" t="s">
        <v>90</v>
      </c>
      <c r="F53" s="14" t="s">
        <v>143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/>
      <c r="E54" s="35"/>
      <c r="F54" s="21"/>
      <c r="G54" s="22">
        <f>SUM(D54,E54,F54)</f>
        <v>0</v>
      </c>
      <c r="H54" s="23" t="str">
        <f>AVERAGE(D54,E54,F54)</f>
        <v>#DIV/0!</v>
      </c>
      <c r="I54" s="4"/>
      <c r="J54" s="37">
        <v>0.5</v>
      </c>
      <c r="K54" s="38"/>
      <c r="L54" s="26" t="str">
        <f>H54*J54</f>
        <v>#DIV/0!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 t="str">
        <f>SUM(H4:H54)</f>
        <v>#DIV/0!</v>
      </c>
      <c r="I55" s="42"/>
      <c r="J55" s="43" t="s">
        <v>6</v>
      </c>
      <c r="K55" s="40"/>
      <c r="L55" s="44" t="str">
        <f>SUM(L4:L54)</f>
        <v>#DIV/0!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186</v>
      </c>
      <c r="C57" s="29"/>
      <c r="D57" s="30" t="s">
        <v>94</v>
      </c>
      <c r="E57" s="30" t="s">
        <v>95</v>
      </c>
      <c r="F57" s="13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/>
      <c r="E58" s="21"/>
      <c r="F58" s="21"/>
      <c r="G58" s="22">
        <f>SUM(D58,E58,F58)</f>
        <v>0</v>
      </c>
      <c r="H58" s="23" t="str">
        <f>AVERAGE(D58,E58,F58)</f>
        <v>#DIV/0!</v>
      </c>
      <c r="I58" s="4"/>
      <c r="J58" s="24">
        <v>4.0</v>
      </c>
      <c r="K58" s="25"/>
      <c r="L58" s="26" t="str">
        <f>H58*J58</f>
        <v>#DIV/0!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/>
      <c r="E60" s="21"/>
      <c r="F60" s="35"/>
      <c r="G60" s="22">
        <f>SUM(D60,E60,F60)</f>
        <v>0</v>
      </c>
      <c r="H60" s="23" t="str">
        <f>AVERAGE(D60,E60,F60)</f>
        <v>#DIV/0!</v>
      </c>
      <c r="I60" s="4"/>
      <c r="J60" s="24">
        <v>15.0</v>
      </c>
      <c r="K60" s="25"/>
      <c r="L60" s="26" t="str">
        <f>H60*J60</f>
        <v>#DIV/0!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148</v>
      </c>
      <c r="F61" s="13" t="s">
        <v>149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/>
      <c r="E62" s="21"/>
      <c r="F62" s="21"/>
      <c r="G62" s="22">
        <f>SUM(D62,E62,F62)</f>
        <v>0</v>
      </c>
      <c r="H62" s="23" t="str">
        <f>AVERAGE(D62,E62,F62)</f>
        <v>#DIV/0!</v>
      </c>
      <c r="I62" s="4"/>
      <c r="J62" s="24">
        <v>2.0</v>
      </c>
      <c r="K62" s="25"/>
      <c r="L62" s="26" t="str">
        <f>H62*J62</f>
        <v>#DIV/0!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/>
      <c r="E64" s="35"/>
      <c r="F64" s="35"/>
      <c r="G64" s="22">
        <f>SUM(D64,E64,F64)</f>
        <v>0</v>
      </c>
      <c r="H64" s="23" t="str">
        <f>AVERAGE(D64,E64,F64)</f>
        <v>#DIV/0!</v>
      </c>
      <c r="I64" s="4"/>
      <c r="J64" s="24">
        <v>2.0</v>
      </c>
      <c r="K64" s="25"/>
      <c r="L64" s="26" t="str">
        <f>H64*J64</f>
        <v>#DIV/0!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 t="str">
        <f>SUM(H57:H64)</f>
        <v>#DIV/0!</v>
      </c>
      <c r="I65" s="42"/>
      <c r="J65" s="43" t="s">
        <v>6</v>
      </c>
      <c r="K65" s="40"/>
      <c r="L65" s="44" t="str">
        <f>SUM(L57:L64)</f>
        <v>#DIV/0!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111</v>
      </c>
      <c r="F67" s="14" t="s">
        <v>150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/>
      <c r="E68" s="21"/>
      <c r="F68" s="21"/>
      <c r="G68" s="22">
        <f>SUM(D68,E68,F68)</f>
        <v>0</v>
      </c>
      <c r="H68" s="23" t="str">
        <f>AVERAGE(D68,E68,F68)</f>
        <v>#DIV/0!</v>
      </c>
      <c r="I68" s="4"/>
      <c r="J68" s="24">
        <v>3.0</v>
      </c>
      <c r="K68" s="25"/>
      <c r="L68" s="26" t="str">
        <f>H68*J68</f>
        <v>#DIV/0!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46" t="s">
        <v>247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/>
      <c r="E70" s="21"/>
      <c r="F70" s="35"/>
      <c r="G70" s="22">
        <f>SUM(D70,E70,F70)</f>
        <v>0</v>
      </c>
      <c r="H70" s="23" t="str">
        <f>AVERAGE(D70,E70,F70)</f>
        <v>#DIV/0!</v>
      </c>
      <c r="I70" s="4"/>
      <c r="J70" s="24">
        <v>2.0</v>
      </c>
      <c r="K70" s="25"/>
      <c r="L70" s="26" t="str">
        <f>H70*J70</f>
        <v>#DIV/0!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46" t="s">
        <v>211</v>
      </c>
      <c r="C71" s="29"/>
      <c r="D71" s="30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/>
      <c r="E72" s="21"/>
      <c r="F72" s="21"/>
      <c r="G72" s="22">
        <f>SUM(D72,E72,F72)</f>
        <v>0</v>
      </c>
      <c r="H72" s="23" t="str">
        <f>AVERAGE(D72,E72,F72)</f>
        <v>#DIV/0!</v>
      </c>
      <c r="I72" s="4"/>
      <c r="J72" s="24">
        <v>10.0</v>
      </c>
      <c r="K72" s="25"/>
      <c r="L72" s="26" t="str">
        <f>H72*J72</f>
        <v>#DIV/0!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152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/>
      <c r="E74" s="21"/>
      <c r="F74" s="35"/>
      <c r="G74" s="22">
        <f>SUM(D74,E74,F74)</f>
        <v>0</v>
      </c>
      <c r="H74" s="23" t="str">
        <f>AVERAGE(D74,E74,F74)</f>
        <v>#DIV/0!</v>
      </c>
      <c r="I74" s="4"/>
      <c r="J74" s="24">
        <v>2.0</v>
      </c>
      <c r="K74" s="25"/>
      <c r="L74" s="26" t="str">
        <f>H74*J74</f>
        <v>#DIV/0!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3"/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/>
      <c r="E76" s="21"/>
      <c r="F76" s="21"/>
      <c r="G76" s="22">
        <f>SUM(D76,E76,F76)</f>
        <v>0</v>
      </c>
      <c r="H76" s="23" t="str">
        <f>AVERAGE(D76,E76,F76)</f>
        <v>#DIV/0!</v>
      </c>
      <c r="I76" s="4"/>
      <c r="J76" s="24">
        <v>1.0</v>
      </c>
      <c r="K76" s="25"/>
      <c r="L76" s="26" t="str">
        <f>H76*J76</f>
        <v>#DIV/0!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 t="str">
        <f>SUM(H68:H76)</f>
        <v>#DIV/0!</v>
      </c>
      <c r="I77" s="42"/>
      <c r="J77" s="43" t="s">
        <v>6</v>
      </c>
      <c r="K77" s="40"/>
      <c r="L77" s="49" t="str">
        <f>SUM(L68:L76)</f>
        <v>#DIV/0!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 t="str">
        <f>H55+H65+H77</f>
        <v>#DIV/0!</v>
      </c>
      <c r="I80" s="4"/>
      <c r="J80" s="4"/>
      <c r="K80" s="54" t="s">
        <v>6</v>
      </c>
      <c r="L80" s="49" t="str">
        <f>L55+L65+L77</f>
        <v>#DIV/0!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248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/>
      <c r="E4" s="21"/>
      <c r="F4" s="21"/>
      <c r="G4" s="22">
        <f>SUM(D4,E4,F4)</f>
        <v>0</v>
      </c>
      <c r="H4" s="23" t="str">
        <f>AVERAGE(D4,E4,F4)</f>
        <v>#DIV/0!</v>
      </c>
      <c r="I4" s="16"/>
      <c r="J4" s="24">
        <v>3.0</v>
      </c>
      <c r="K4" s="25" t="s">
        <v>11</v>
      </c>
      <c r="L4" s="26" t="str">
        <f>H4*J4</f>
        <v>#DIV/0!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4" t="s">
        <v>3</v>
      </c>
      <c r="E5" s="30" t="s">
        <v>13</v>
      </c>
      <c r="F5" s="14" t="s">
        <v>127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/>
      <c r="E6" s="35"/>
      <c r="F6" s="35"/>
      <c r="G6" s="22">
        <f>SUM(D6,E6,F6)</f>
        <v>0</v>
      </c>
      <c r="H6" s="23" t="str">
        <f>AVERAGE(D6,E6,F6)</f>
        <v>#DIV/0!</v>
      </c>
      <c r="I6" s="16"/>
      <c r="J6" s="24">
        <v>4.0</v>
      </c>
      <c r="K6" s="25"/>
      <c r="L6" s="26" t="str">
        <f>H6*J6</f>
        <v>#DIV/0!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249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/>
      <c r="E8" s="21"/>
      <c r="F8" s="35"/>
      <c r="G8" s="22">
        <f>SUM(D8,E8,F8)</f>
        <v>0</v>
      </c>
      <c r="H8" s="23" t="str">
        <f>AVERAGE(D8,E8,F8)</f>
        <v>#DIV/0!</v>
      </c>
      <c r="I8" s="16"/>
      <c r="J8" s="24">
        <v>2.0</v>
      </c>
      <c r="K8" s="25"/>
      <c r="L8" s="26" t="str">
        <f>H8*J8</f>
        <v>#DIV/0!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3" t="s">
        <v>250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/>
      <c r="E10" s="21"/>
      <c r="F10" s="21"/>
      <c r="G10" s="22">
        <f>SUM(D10,E10,F10)</f>
        <v>0</v>
      </c>
      <c r="H10" s="23" t="str">
        <f>AVERAGE(D10,E10,F10)</f>
        <v>#DIV/0!</v>
      </c>
      <c r="I10" s="16"/>
      <c r="J10" s="24">
        <v>3.0</v>
      </c>
      <c r="K10" s="25"/>
      <c r="L10" s="26" t="str">
        <f>H10*J10</f>
        <v>#DIV/0!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/>
      <c r="E12" s="21"/>
      <c r="F12" s="21"/>
      <c r="G12" s="22">
        <f>SUM(D12,E12,F12)</f>
        <v>0</v>
      </c>
      <c r="H12" s="23" t="str">
        <f>AVERAGE(D12,E12,F12)</f>
        <v>#DIV/0!</v>
      </c>
      <c r="I12" s="16"/>
      <c r="J12" s="24">
        <v>3.0</v>
      </c>
      <c r="K12" s="25"/>
      <c r="L12" s="26" t="str">
        <f>H12*J12</f>
        <v>#DIV/0!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4" t="s">
        <v>251</v>
      </c>
      <c r="E13" s="30" t="s">
        <v>133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35"/>
      <c r="F14" s="21"/>
      <c r="G14" s="22">
        <f>SUM(D14,E14,F14)</f>
        <v>0</v>
      </c>
      <c r="H14" s="23" t="str">
        <f>AVERAGE(D14,E14,F14)</f>
        <v>#DIV/0!</v>
      </c>
      <c r="I14" s="16"/>
      <c r="J14" s="24">
        <v>1.0</v>
      </c>
      <c r="K14" s="25"/>
      <c r="L14" s="26" t="str">
        <f>H14*J14</f>
        <v>#DIV/0!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4" t="s">
        <v>252</v>
      </c>
      <c r="E15" s="30" t="s">
        <v>33</v>
      </c>
      <c r="F15" s="13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/>
      <c r="E16" s="35"/>
      <c r="F16" s="35"/>
      <c r="G16" s="22">
        <f>SUM(D16,E16,F16)</f>
        <v>0</v>
      </c>
      <c r="H16" s="23" t="str">
        <f>AVERAGE(D16,E16,F16)</f>
        <v>#DIV/0!</v>
      </c>
      <c r="I16" s="16"/>
      <c r="J16" s="24">
        <v>4.0</v>
      </c>
      <c r="K16" s="25"/>
      <c r="L16" s="26" t="str">
        <f>H16*J16</f>
        <v>#DIV/0!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/>
      <c r="E18" s="35"/>
      <c r="F18" s="35"/>
      <c r="G18" s="22">
        <f>SUM(D18,E18,F18)</f>
        <v>0</v>
      </c>
      <c r="H18" s="23" t="str">
        <f>AVERAGE(D18,E18,F18)</f>
        <v>#DIV/0!</v>
      </c>
      <c r="I18" s="16"/>
      <c r="J18" s="24">
        <v>1.0</v>
      </c>
      <c r="K18" s="25"/>
      <c r="L18" s="26" t="str">
        <f>H18*J18</f>
        <v>#DIV/0!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/>
      <c r="E20" s="35"/>
      <c r="F20" s="35"/>
      <c r="G20" s="22">
        <f>SUM(D20,E20,F20)</f>
        <v>0</v>
      </c>
      <c r="H20" s="23" t="str">
        <f>AVERAGE(D20,E20,F20)</f>
        <v>#DIV/0!</v>
      </c>
      <c r="I20" s="16"/>
      <c r="J20" s="24">
        <v>9.0</v>
      </c>
      <c r="K20" s="25"/>
      <c r="L20" s="26" t="str">
        <f>H20*J20</f>
        <v>#DIV/0!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4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/>
      <c r="E22" s="35"/>
      <c r="F22" s="35"/>
      <c r="G22" s="22">
        <f>SUM(D22,E22,F22)</f>
        <v>0</v>
      </c>
      <c r="H22" s="23" t="str">
        <f>AVERAGE(D22,E22,F22)</f>
        <v>#DIV/0!</v>
      </c>
      <c r="I22" s="16"/>
      <c r="J22" s="24">
        <v>0.2</v>
      </c>
      <c r="K22" s="25"/>
      <c r="L22" s="26" t="str">
        <f>H22*J22</f>
        <v>#DIV/0!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/>
      <c r="E24" s="35"/>
      <c r="F24" s="35"/>
      <c r="G24" s="22">
        <f>SUM(D24,E24,F24)</f>
        <v>0</v>
      </c>
      <c r="H24" s="23" t="str">
        <f>AVERAGE(D24,E24,F24)</f>
        <v>#DIV/0!</v>
      </c>
      <c r="I24" s="4"/>
      <c r="J24" s="24">
        <v>3.0</v>
      </c>
      <c r="K24" s="25"/>
      <c r="L24" s="26" t="str">
        <f>H24*J24</f>
        <v>#DIV/0!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35"/>
      <c r="F26" s="21"/>
      <c r="G26" s="22">
        <f>SUM(D26,E26,F26)</f>
        <v>0</v>
      </c>
      <c r="H26" s="23" t="str">
        <f>AVERAGE(D26,E26,F26)</f>
        <v>#DIV/0!</v>
      </c>
      <c r="I26" s="4"/>
      <c r="J26" s="24">
        <v>4.0</v>
      </c>
      <c r="K26" s="25"/>
      <c r="L26" s="26" t="str">
        <f>H26*J26</f>
        <v>#DIV/0!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202</v>
      </c>
      <c r="C27" s="29"/>
      <c r="D27" s="30" t="s">
        <v>48</v>
      </c>
      <c r="E27" s="34" t="s">
        <v>253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/>
      <c r="E28" s="21"/>
      <c r="F28" s="21"/>
      <c r="G28" s="22">
        <f>SUM(D28,E28,F28)</f>
        <v>0</v>
      </c>
      <c r="H28" s="23" t="str">
        <f>AVERAGE(D28,E28,F28)</f>
        <v>#DIV/0!</v>
      </c>
      <c r="I28" s="4"/>
      <c r="J28" s="24">
        <v>2.0</v>
      </c>
      <c r="K28" s="25"/>
      <c r="L28" s="26" t="str">
        <f>H28*J28</f>
        <v>#DIV/0!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/>
      <c r="E30" s="35"/>
      <c r="F30" s="35"/>
      <c r="G30" s="22">
        <f>SUM(D30,E30,F30)</f>
        <v>0</v>
      </c>
      <c r="H30" s="23" t="str">
        <f>AVERAGE(D30,E30,F30)</f>
        <v>#DIV/0!</v>
      </c>
      <c r="I30" s="4"/>
      <c r="J30" s="24">
        <v>6.0</v>
      </c>
      <c r="K30" s="25"/>
      <c r="L30" s="26" t="str">
        <f>H30*J30</f>
        <v>#DIV/0!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/>
      <c r="E32" s="35"/>
      <c r="F32" s="35"/>
      <c r="G32" s="22">
        <f>SUM(D32,E32,F32)</f>
        <v>0</v>
      </c>
      <c r="H32" s="23" t="str">
        <f>AVERAGE(D32,E32,F32)</f>
        <v>#DIV/0!</v>
      </c>
      <c r="I32" s="4"/>
      <c r="J32" s="24">
        <v>7.5</v>
      </c>
      <c r="K32" s="25"/>
      <c r="L32" s="26" t="str">
        <f>H32*J32</f>
        <v>#DIV/0!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0" t="s">
        <v>134</v>
      </c>
      <c r="F33" s="13" t="s">
        <v>254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/>
      <c r="E34" s="21"/>
      <c r="F34" s="21"/>
      <c r="G34" s="22">
        <f>SUM(D34,E34,F34)</f>
        <v>0</v>
      </c>
      <c r="H34" s="23" t="str">
        <f>AVERAGE(D34,E34,F34)</f>
        <v>#DIV/0!</v>
      </c>
      <c r="I34" s="4"/>
      <c r="J34" s="24">
        <v>5.0</v>
      </c>
      <c r="K34" s="25"/>
      <c r="L34" s="26" t="str">
        <f>H34*J34</f>
        <v>#DIV/0!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4" t="s">
        <v>62</v>
      </c>
      <c r="E35" s="34" t="s">
        <v>255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/>
      <c r="E36" s="21"/>
      <c r="F36" s="21"/>
      <c r="G36" s="22">
        <f>SUM(D36,E36,F36)</f>
        <v>0</v>
      </c>
      <c r="H36" s="23" t="str">
        <f>AVERAGE(D36,E36,F36)</f>
        <v>#DIV/0!</v>
      </c>
      <c r="I36" s="4"/>
      <c r="J36" s="24">
        <v>7.5</v>
      </c>
      <c r="K36" s="25"/>
      <c r="L36" s="26" t="str">
        <f>H36*J36</f>
        <v>#DIV/0!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179</v>
      </c>
      <c r="C37" s="29"/>
      <c r="D37" s="30" t="s">
        <v>61</v>
      </c>
      <c r="E37" s="30" t="s">
        <v>135</v>
      </c>
      <c r="F37" s="13" t="s">
        <v>65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/>
      <c r="E38" s="21"/>
      <c r="F38" s="21"/>
      <c r="G38" s="22">
        <f>SUM(D38,E38,F38)</f>
        <v>0</v>
      </c>
      <c r="H38" s="23" t="str">
        <f>AVERAGE(D38,E38,F38)</f>
        <v>#DIV/0!</v>
      </c>
      <c r="I38" s="4"/>
      <c r="J38" s="24">
        <v>3.0</v>
      </c>
      <c r="K38" s="25"/>
      <c r="L38" s="26" t="str">
        <f>H38*J38</f>
        <v>#DIV/0!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4" t="s">
        <v>48</v>
      </c>
      <c r="E39" s="34" t="s">
        <v>256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/>
      <c r="E40" s="21"/>
      <c r="F40" s="35"/>
      <c r="G40" s="22">
        <f>SUM(D40,E40,F40)</f>
        <v>0</v>
      </c>
      <c r="H40" s="23" t="str">
        <f>AVERAGE(D40,E40,F40)</f>
        <v>#DIV/0!</v>
      </c>
      <c r="I40" s="4"/>
      <c r="J40" s="24">
        <v>4.0</v>
      </c>
      <c r="K40" s="25"/>
      <c r="L40" s="26" t="str">
        <f>H40*J40</f>
        <v>#DIV/0!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0" t="s">
        <v>137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/>
      <c r="G42" s="22">
        <f>SUM(D42,E42,F42)</f>
        <v>0</v>
      </c>
      <c r="H42" s="23" t="str">
        <f>AVERAGE(D42,E42,F42)</f>
        <v>#DIV/0!</v>
      </c>
      <c r="I42" s="4"/>
      <c r="J42" s="24">
        <v>4.0</v>
      </c>
      <c r="K42" s="25"/>
      <c r="L42" s="26" t="str">
        <f>H42*J42</f>
        <v>#DIV/0!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4" t="s">
        <v>231</v>
      </c>
      <c r="E43" s="30" t="s">
        <v>74</v>
      </c>
      <c r="F43" s="14" t="s">
        <v>138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/>
      <c r="E44" s="35"/>
      <c r="F44" s="21"/>
      <c r="G44" s="22">
        <f>SUM(D44,E44,F44)</f>
        <v>0</v>
      </c>
      <c r="H44" s="23" t="str">
        <f>AVERAGE(D44,E44,F44)</f>
        <v>#DIV/0!</v>
      </c>
      <c r="I44" s="4"/>
      <c r="J44" s="24">
        <v>3.0</v>
      </c>
      <c r="K44" s="25"/>
      <c r="L44" s="26" t="str">
        <f>H44*J44</f>
        <v>#DIV/0!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4" t="s">
        <v>257</v>
      </c>
      <c r="E45" s="30" t="s">
        <v>78</v>
      </c>
      <c r="F45" s="14" t="s">
        <v>139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/>
      <c r="E46" s="21"/>
      <c r="F46" s="35"/>
      <c r="G46" s="22">
        <f>SUM(D46,E46,F46)</f>
        <v>0</v>
      </c>
      <c r="H46" s="23" t="str">
        <f>AVERAGE(D46,E46,F46)</f>
        <v>#DIV/0!</v>
      </c>
      <c r="I46" s="4"/>
      <c r="J46" s="24">
        <v>4.0</v>
      </c>
      <c r="K46" s="25"/>
      <c r="L46" s="26" t="str">
        <f>H46*J46</f>
        <v>#DIV/0!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4" t="s">
        <v>258</v>
      </c>
      <c r="E47" s="30" t="s">
        <v>82</v>
      </c>
      <c r="F47" s="14" t="s">
        <v>33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/>
      <c r="E48" s="21"/>
      <c r="F48" s="21"/>
      <c r="G48" s="22">
        <f>SUM(D48,E48,F48)</f>
        <v>0</v>
      </c>
      <c r="H48" s="23" t="str">
        <f>AVERAGE(D48,E48,F48)</f>
        <v>#DIV/0!</v>
      </c>
      <c r="I48" s="4"/>
      <c r="J48" s="24">
        <v>5.0</v>
      </c>
      <c r="K48" s="25"/>
      <c r="L48" s="26" t="str">
        <f>H48*J48</f>
        <v>#DIV/0!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4" t="s">
        <v>168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/>
      <c r="E50" s="35"/>
      <c r="F50" s="35"/>
      <c r="G50" s="22">
        <f>SUM(D50,E50,F50)</f>
        <v>0</v>
      </c>
      <c r="H50" s="23" t="str">
        <f>AVERAGE(D50,E50,F50)</f>
        <v>#DIV/0!</v>
      </c>
      <c r="I50" s="4"/>
      <c r="J50" s="24">
        <v>0.5</v>
      </c>
      <c r="K50" s="25"/>
      <c r="L50" s="26" t="str">
        <f>H50*J50</f>
        <v>#DIV/0!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4" t="s">
        <v>259</v>
      </c>
      <c r="E51" s="30" t="s">
        <v>82</v>
      </c>
      <c r="F51" s="14" t="s">
        <v>141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/>
      <c r="E52" s="35"/>
      <c r="F52" s="21"/>
      <c r="G52" s="22">
        <f>SUM(D52,E52,F52)</f>
        <v>0</v>
      </c>
      <c r="H52" s="23" t="str">
        <f>AVERAGE(D52,E52,F52)</f>
        <v>#DIV/0!</v>
      </c>
      <c r="I52" s="4"/>
      <c r="J52" s="24">
        <v>0.3</v>
      </c>
      <c r="K52" s="25"/>
      <c r="L52" s="26" t="str">
        <f>H52*J52</f>
        <v>#DIV/0!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4" t="s">
        <v>260</v>
      </c>
      <c r="E53" s="34" t="s">
        <v>185</v>
      </c>
      <c r="F53" s="14" t="s">
        <v>143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/>
      <c r="E54" s="21"/>
      <c r="F54" s="21"/>
      <c r="G54" s="22">
        <f>SUM(D54,E54,F54)</f>
        <v>0</v>
      </c>
      <c r="H54" s="23" t="str">
        <f>AVERAGE(D54,E54,F54)</f>
        <v>#DIV/0!</v>
      </c>
      <c r="I54" s="4"/>
      <c r="J54" s="37">
        <v>0.5</v>
      </c>
      <c r="K54" s="38"/>
      <c r="L54" s="26" t="str">
        <f>H54*J54</f>
        <v>#DIV/0!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 t="str">
        <f>SUM(H4:H54)</f>
        <v>#DIV/0!</v>
      </c>
      <c r="I55" s="42"/>
      <c r="J55" s="43" t="s">
        <v>6</v>
      </c>
      <c r="K55" s="40"/>
      <c r="L55" s="44" t="str">
        <f>SUM(L4:L54)</f>
        <v>#DIV/0!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186</v>
      </c>
      <c r="C57" s="29"/>
      <c r="D57" s="30" t="s">
        <v>94</v>
      </c>
      <c r="E57" s="34" t="s">
        <v>187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/>
      <c r="E58" s="21"/>
      <c r="F58" s="21"/>
      <c r="G58" s="22">
        <f>SUM(D58,E58,F58)</f>
        <v>0</v>
      </c>
      <c r="H58" s="23" t="str">
        <f>AVERAGE(D58,E58,F58)</f>
        <v>#DIV/0!</v>
      </c>
      <c r="I58" s="4"/>
      <c r="J58" s="24">
        <v>4.0</v>
      </c>
      <c r="K58" s="25"/>
      <c r="L58" s="26" t="str">
        <f>H58*J58</f>
        <v>#DIV/0!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/>
      <c r="E60" s="21"/>
      <c r="F60" s="35"/>
      <c r="G60" s="22">
        <f>SUM(D60,E60,F60)</f>
        <v>0</v>
      </c>
      <c r="H60" s="23" t="str">
        <f>AVERAGE(D60,E60,F60)</f>
        <v>#DIV/0!</v>
      </c>
      <c r="I60" s="4"/>
      <c r="J60" s="24">
        <v>15.0</v>
      </c>
      <c r="K60" s="25"/>
      <c r="L60" s="26" t="str">
        <f>H60*J60</f>
        <v>#DIV/0!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149</v>
      </c>
      <c r="F61" s="13" t="s">
        <v>148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/>
      <c r="E62" s="21"/>
      <c r="F62" s="21"/>
      <c r="G62" s="22">
        <f>SUM(D62,E62,F62)</f>
        <v>0</v>
      </c>
      <c r="H62" s="23" t="str">
        <f>AVERAGE(D62,E62,F62)</f>
        <v>#DIV/0!</v>
      </c>
      <c r="I62" s="4"/>
      <c r="J62" s="24">
        <v>2.0</v>
      </c>
      <c r="K62" s="25"/>
      <c r="L62" s="26" t="str">
        <f>H62*J62</f>
        <v>#DIV/0!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/>
      <c r="E64" s="35"/>
      <c r="F64" s="21"/>
      <c r="G64" s="22">
        <f>SUM(D64,E64,F64)</f>
        <v>0</v>
      </c>
      <c r="H64" s="23" t="str">
        <f>AVERAGE(D64,E64,F64)</f>
        <v>#DIV/0!</v>
      </c>
      <c r="I64" s="4"/>
      <c r="J64" s="24">
        <v>2.0</v>
      </c>
      <c r="K64" s="25"/>
      <c r="L64" s="26" t="str">
        <f>H64*J64</f>
        <v>#DIV/0!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 t="str">
        <f>SUM(H57:H64)</f>
        <v>#DIV/0!</v>
      </c>
      <c r="I65" s="42"/>
      <c r="J65" s="43" t="s">
        <v>6</v>
      </c>
      <c r="K65" s="40"/>
      <c r="L65" s="44" t="str">
        <f>SUM(L57:L64)</f>
        <v>#DIV/0!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4" t="s">
        <v>149</v>
      </c>
      <c r="E67" s="34" t="s">
        <v>261</v>
      </c>
      <c r="F67" s="14" t="s">
        <v>150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/>
      <c r="E68" s="21"/>
      <c r="F68" s="35"/>
      <c r="G68" s="22">
        <f>SUM(D68,E68,F68)</f>
        <v>0</v>
      </c>
      <c r="H68" s="23" t="str">
        <f>AVERAGE(D68,E68,F68)</f>
        <v>#DIV/0!</v>
      </c>
      <c r="I68" s="4"/>
      <c r="J68" s="24">
        <v>3.0</v>
      </c>
      <c r="K68" s="25"/>
      <c r="L68" s="26" t="str">
        <f>H68*J68</f>
        <v>#DIV/0!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/>
      <c r="E70" s="21"/>
      <c r="F70" s="35"/>
      <c r="G70" s="22">
        <f>SUM(D70,E70,F70)</f>
        <v>0</v>
      </c>
      <c r="H70" s="23" t="str">
        <f>AVERAGE(D70,E70,F70)</f>
        <v>#DIV/0!</v>
      </c>
      <c r="I70" s="4"/>
      <c r="J70" s="24">
        <v>2.0</v>
      </c>
      <c r="K70" s="25"/>
      <c r="L70" s="26" t="str">
        <f>H70*J70</f>
        <v>#DIV/0!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4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/>
      <c r="E72" s="21"/>
      <c r="F72" s="21"/>
      <c r="G72" s="22">
        <f>SUM(D72,E72,F72)</f>
        <v>0</v>
      </c>
      <c r="H72" s="23" t="str">
        <f>AVERAGE(D72,E72,F72)</f>
        <v>#DIV/0!</v>
      </c>
      <c r="I72" s="4"/>
      <c r="J72" s="24">
        <v>10.0</v>
      </c>
      <c r="K72" s="25"/>
      <c r="L72" s="26" t="str">
        <f>H72*J72</f>
        <v>#DIV/0!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152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/>
      <c r="E74" s="21"/>
      <c r="F74" s="35"/>
      <c r="G74" s="22">
        <f>SUM(D74,E74,F74)</f>
        <v>0</v>
      </c>
      <c r="H74" s="23" t="str">
        <f>AVERAGE(D74,E74,F74)</f>
        <v>#DIV/0!</v>
      </c>
      <c r="I74" s="4"/>
      <c r="J74" s="24">
        <v>2.0</v>
      </c>
      <c r="K74" s="25"/>
      <c r="L74" s="26" t="str">
        <f>H74*J74</f>
        <v>#DIV/0!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/>
      <c r="E76" s="21"/>
      <c r="F76" s="35"/>
      <c r="G76" s="22">
        <f>SUM(D76,E76,F76)</f>
        <v>0</v>
      </c>
      <c r="H76" s="23" t="str">
        <f>AVERAGE(D76,E76,F76)</f>
        <v>#DIV/0!</v>
      </c>
      <c r="I76" s="4"/>
      <c r="J76" s="24">
        <v>1.0</v>
      </c>
      <c r="K76" s="25"/>
      <c r="L76" s="26" t="str">
        <f>H76*J76</f>
        <v>#DIV/0!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 t="str">
        <f>SUM(H68:H76)</f>
        <v>#DIV/0!</v>
      </c>
      <c r="I77" s="42"/>
      <c r="J77" s="43" t="s">
        <v>6</v>
      </c>
      <c r="K77" s="40"/>
      <c r="L77" s="49" t="str">
        <f>SUM(L68:L76)</f>
        <v>#DIV/0!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 t="str">
        <f>H55+H65+H77</f>
        <v>#DIV/0!</v>
      </c>
      <c r="I80" s="4"/>
      <c r="J80" s="4"/>
      <c r="K80" s="54" t="s">
        <v>6</v>
      </c>
      <c r="L80" s="49" t="str">
        <f>L55+L65+L77</f>
        <v>#DIV/0!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08" t="s">
        <v>262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5" t="s">
        <v>263</v>
      </c>
      <c r="B3" s="32"/>
      <c r="C3" s="40"/>
      <c r="D3" s="111" t="s">
        <v>264</v>
      </c>
      <c r="E3" s="32"/>
      <c r="F3" s="32"/>
      <c r="G3" s="40"/>
      <c r="H3" s="112" t="s">
        <v>6</v>
      </c>
      <c r="I3" s="112" t="s">
        <v>7</v>
      </c>
      <c r="J3" s="112"/>
      <c r="K3" s="112" t="s">
        <v>8</v>
      </c>
      <c r="L3" s="112" t="s">
        <v>9</v>
      </c>
      <c r="M3" s="113" t="s">
        <v>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4">
        <v>1.0</v>
      </c>
      <c r="B4" s="46" t="s">
        <v>265</v>
      </c>
      <c r="C4" s="29"/>
      <c r="D4" s="30" t="s">
        <v>266</v>
      </c>
      <c r="E4" s="30" t="s">
        <v>267</v>
      </c>
      <c r="F4" s="14" t="s">
        <v>268</v>
      </c>
      <c r="G4" s="14"/>
      <c r="H4" s="15"/>
      <c r="I4" s="15"/>
      <c r="J4" s="4"/>
      <c r="K4" s="31"/>
      <c r="L4" s="32"/>
      <c r="M4" s="3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9"/>
      <c r="C5" s="20"/>
      <c r="D5" s="21"/>
      <c r="E5" s="21"/>
      <c r="F5" s="21"/>
      <c r="G5" s="35"/>
      <c r="H5" s="22">
        <f>SUM(D5,E5,F5,G5)</f>
        <v>0</v>
      </c>
      <c r="I5" s="23" t="str">
        <f>AVERAGE(D5,E5,F5,G5)</f>
        <v>#DIV/0!</v>
      </c>
      <c r="J5" s="4"/>
      <c r="K5" s="24">
        <v>1.0</v>
      </c>
      <c r="L5" s="25"/>
      <c r="M5" s="26" t="str">
        <f>I5*K5</f>
        <v>#DIV/0!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14">
        <v>2.0</v>
      </c>
      <c r="B6" s="46" t="s">
        <v>269</v>
      </c>
      <c r="C6" s="29"/>
      <c r="D6" s="30" t="s">
        <v>266</v>
      </c>
      <c r="E6" s="30" t="s">
        <v>267</v>
      </c>
      <c r="F6" s="14" t="s">
        <v>268</v>
      </c>
      <c r="G6" s="14"/>
      <c r="H6" s="15"/>
      <c r="I6" s="15"/>
      <c r="J6" s="4"/>
      <c r="K6" s="31"/>
      <c r="L6" s="32"/>
      <c r="M6" s="3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9"/>
      <c r="C7" s="20"/>
      <c r="D7" s="21"/>
      <c r="E7" s="21"/>
      <c r="F7" s="21"/>
      <c r="G7" s="35"/>
      <c r="H7" s="22">
        <f>SUM(D7,E7,F7,G7)</f>
        <v>0</v>
      </c>
      <c r="I7" s="23" t="str">
        <f>AVERAGE(D7,E7,F7,G7)</f>
        <v>#DIV/0!</v>
      </c>
      <c r="J7" s="4"/>
      <c r="K7" s="24">
        <v>1.0</v>
      </c>
      <c r="L7" s="25"/>
      <c r="M7" s="26" t="str">
        <f>I7*K7</f>
        <v>#DIV/0!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14">
        <v>3.0</v>
      </c>
      <c r="B8" s="46" t="s">
        <v>270</v>
      </c>
      <c r="C8" s="29"/>
      <c r="D8" s="30" t="s">
        <v>266</v>
      </c>
      <c r="E8" s="30" t="s">
        <v>267</v>
      </c>
      <c r="F8" s="14" t="s">
        <v>268</v>
      </c>
      <c r="G8" s="14"/>
      <c r="H8" s="15"/>
      <c r="I8" s="15"/>
      <c r="J8" s="4"/>
      <c r="K8" s="31"/>
      <c r="L8" s="32"/>
      <c r="M8" s="3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9"/>
      <c r="C9" s="20"/>
      <c r="D9" s="21"/>
      <c r="E9" s="21"/>
      <c r="F9" s="21"/>
      <c r="G9" s="35"/>
      <c r="H9" s="22">
        <f>SUM(D9,E9,F9,G9)</f>
        <v>0</v>
      </c>
      <c r="I9" s="23" t="str">
        <f>AVERAGE(D9,E9,F9,G9)</f>
        <v>#DIV/0!</v>
      </c>
      <c r="J9" s="4"/>
      <c r="K9" s="24">
        <v>1.0</v>
      </c>
      <c r="L9" s="25"/>
      <c r="M9" s="26" t="str">
        <f>I9*K9</f>
        <v>#DIV/0!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14">
        <v>4.0</v>
      </c>
      <c r="B10" s="46" t="s">
        <v>271</v>
      </c>
      <c r="C10" s="29"/>
      <c r="D10" s="30" t="s">
        <v>266</v>
      </c>
      <c r="E10" s="30" t="s">
        <v>267</v>
      </c>
      <c r="F10" s="14" t="s">
        <v>268</v>
      </c>
      <c r="G10" s="14"/>
      <c r="H10" s="15"/>
      <c r="I10" s="15"/>
      <c r="J10" s="4"/>
      <c r="K10" s="31"/>
      <c r="L10" s="32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9"/>
      <c r="C11" s="20"/>
      <c r="D11" s="21"/>
      <c r="E11" s="21"/>
      <c r="F11" s="21"/>
      <c r="G11" s="35"/>
      <c r="H11" s="22">
        <f>SUM(D11,E11,F11,G11)</f>
        <v>0</v>
      </c>
      <c r="I11" s="23" t="str">
        <f>AVERAGE(D11,E11,F11,G11)</f>
        <v>#DIV/0!</v>
      </c>
      <c r="J11" s="4"/>
      <c r="K11" s="24">
        <v>1.0</v>
      </c>
      <c r="L11" s="25"/>
      <c r="M11" s="26" t="str">
        <f>I11*K11</f>
        <v>#DIV/0!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4">
        <v>5.0</v>
      </c>
      <c r="B12" s="46" t="s">
        <v>272</v>
      </c>
      <c r="C12" s="29"/>
      <c r="D12" s="30" t="s">
        <v>266</v>
      </c>
      <c r="E12" s="30" t="s">
        <v>267</v>
      </c>
      <c r="F12" s="14" t="s">
        <v>268</v>
      </c>
      <c r="G12" s="14"/>
      <c r="H12" s="15"/>
      <c r="I12" s="15"/>
      <c r="J12" s="4"/>
      <c r="K12" s="31"/>
      <c r="L12" s="32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9"/>
      <c r="C13" s="20"/>
      <c r="D13" s="115"/>
      <c r="E13" s="115"/>
      <c r="F13" s="21"/>
      <c r="G13" s="35"/>
      <c r="H13" s="22">
        <f>SUM(D13,E13,F13,G13)</f>
        <v>0</v>
      </c>
      <c r="I13" s="23" t="str">
        <f>AVERAGE(D13,E13,F13,G13)</f>
        <v>#DIV/0!</v>
      </c>
      <c r="J13" s="4"/>
      <c r="K13" s="24">
        <v>1.0</v>
      </c>
      <c r="L13" s="25"/>
      <c r="M13" s="26" t="str">
        <f>I13*K13</f>
        <v>#DIV/0!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16">
        <v>6.0</v>
      </c>
      <c r="B14" s="117" t="s">
        <v>273</v>
      </c>
      <c r="C14" s="118"/>
      <c r="D14" s="30" t="s">
        <v>266</v>
      </c>
      <c r="E14" s="30" t="s">
        <v>267</v>
      </c>
      <c r="F14" s="14" t="s">
        <v>268</v>
      </c>
      <c r="G14" s="14"/>
      <c r="H14" s="15"/>
      <c r="I14" s="15"/>
      <c r="J14" s="4"/>
      <c r="K14" s="31"/>
      <c r="L14" s="32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19"/>
      <c r="B15" s="120"/>
      <c r="C15" s="121"/>
      <c r="D15" s="21"/>
      <c r="E15" s="21"/>
      <c r="F15" s="21"/>
      <c r="G15" s="35"/>
      <c r="H15" s="22">
        <f>SUM(D15,E15,F15,G15)</f>
        <v>0</v>
      </c>
      <c r="I15" s="23" t="str">
        <f>AVERAGE(D15,E15,F15,G15)</f>
        <v>#DIV/0!</v>
      </c>
      <c r="J15" s="4"/>
      <c r="K15" s="122">
        <v>1.0</v>
      </c>
      <c r="L15" s="38"/>
      <c r="M15" s="123" t="str">
        <f>I15*K15</f>
        <v>#DIV/0!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16">
        <v>7.0</v>
      </c>
      <c r="B16" s="124" t="s">
        <v>274</v>
      </c>
      <c r="C16" s="125"/>
      <c r="D16" s="30" t="s">
        <v>266</v>
      </c>
      <c r="E16" s="30" t="s">
        <v>267</v>
      </c>
      <c r="F16" s="14" t="s">
        <v>268</v>
      </c>
      <c r="G16" s="14"/>
      <c r="H16" s="15"/>
      <c r="I16" s="15"/>
      <c r="J16" s="4"/>
      <c r="K16" s="31"/>
      <c r="L16" s="32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19"/>
      <c r="B17" s="120"/>
      <c r="C17" s="121"/>
      <c r="D17" s="21"/>
      <c r="E17" s="21"/>
      <c r="F17" s="21"/>
      <c r="G17" s="35"/>
      <c r="H17" s="22">
        <f>SUM(D17,E17,F17,G17)</f>
        <v>0</v>
      </c>
      <c r="I17" s="23" t="str">
        <f>AVERAGE(D17,E17,F17,G17)</f>
        <v>#DIV/0!</v>
      </c>
      <c r="J17" s="4"/>
      <c r="K17" s="122">
        <v>1.0</v>
      </c>
      <c r="L17" s="38"/>
      <c r="M17" s="123" t="str">
        <f>I17*K17</f>
        <v>#DIV/0!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16">
        <v>8.0</v>
      </c>
      <c r="B18" s="124" t="s">
        <v>275</v>
      </c>
      <c r="C18" s="125"/>
      <c r="D18" s="30" t="s">
        <v>266</v>
      </c>
      <c r="E18" s="30" t="s">
        <v>267</v>
      </c>
      <c r="F18" s="14" t="s">
        <v>268</v>
      </c>
      <c r="G18" s="14"/>
      <c r="H18" s="15"/>
      <c r="I18" s="15"/>
      <c r="J18" s="4"/>
      <c r="K18" s="31"/>
      <c r="L18" s="32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19"/>
      <c r="B19" s="120"/>
      <c r="C19" s="121"/>
      <c r="D19" s="21"/>
      <c r="E19" s="21"/>
      <c r="F19" s="21"/>
      <c r="G19" s="35"/>
      <c r="H19" s="22">
        <f>SUM(D19,E19,F19,G19)</f>
        <v>0</v>
      </c>
      <c r="I19" s="23" t="str">
        <f>AVERAGE(D19,E19,F19,G19)</f>
        <v>#DIV/0!</v>
      </c>
      <c r="J19" s="4"/>
      <c r="K19" s="122">
        <v>1.0</v>
      </c>
      <c r="L19" s="38"/>
      <c r="M19" s="123" t="str">
        <f>I19*K19</f>
        <v>#DIV/0!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6">
        <v>9.0</v>
      </c>
      <c r="B20" s="124" t="s">
        <v>276</v>
      </c>
      <c r="C20" s="125"/>
      <c r="D20" s="30" t="s">
        <v>266</v>
      </c>
      <c r="E20" s="30" t="s">
        <v>267</v>
      </c>
      <c r="F20" s="14" t="s">
        <v>268</v>
      </c>
      <c r="G20" s="14"/>
      <c r="H20" s="15"/>
      <c r="I20" s="15"/>
      <c r="J20" s="4"/>
      <c r="K20" s="31"/>
      <c r="L20" s="32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9"/>
      <c r="B21" s="126"/>
      <c r="C21" s="127"/>
      <c r="D21" s="21"/>
      <c r="E21" s="21"/>
      <c r="F21" s="21"/>
      <c r="G21" s="35"/>
      <c r="H21" s="22">
        <f>SUM(D21,E21,F21,G21)</f>
        <v>0</v>
      </c>
      <c r="I21" s="23" t="str">
        <f>AVERAGE(D23,E23,F23,G23)</f>
        <v>#DIV/0!</v>
      </c>
      <c r="J21" s="4"/>
      <c r="K21" s="122">
        <v>1.0</v>
      </c>
      <c r="L21" s="38"/>
      <c r="M21" s="123" t="str">
        <f>I23*K23</f>
        <v>#DIV/0!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8">
        <v>10.0</v>
      </c>
      <c r="B22" s="117" t="s">
        <v>277</v>
      </c>
      <c r="C22" s="118"/>
      <c r="D22" s="30" t="s">
        <v>266</v>
      </c>
      <c r="E22" s="30" t="s">
        <v>267</v>
      </c>
      <c r="F22" s="14" t="s">
        <v>268</v>
      </c>
      <c r="G22" s="14"/>
      <c r="H22" s="15"/>
      <c r="I22" s="15"/>
      <c r="J22" s="4"/>
      <c r="K22" s="31"/>
      <c r="L22" s="32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9"/>
      <c r="B23" s="126"/>
      <c r="C23" s="127"/>
      <c r="D23" s="115"/>
      <c r="E23" s="115"/>
      <c r="F23" s="21"/>
      <c r="G23" s="35"/>
      <c r="H23" s="22">
        <f>SUM(D23,E23,F23,G23)</f>
        <v>0</v>
      </c>
      <c r="I23" s="23" t="str">
        <f>AVERAGE(D23,E23,F23,G23)</f>
        <v>#DIV/0!</v>
      </c>
      <c r="J23" s="4"/>
      <c r="K23" s="122">
        <v>1.0</v>
      </c>
      <c r="L23" s="38"/>
      <c r="M23" s="123" t="str">
        <f>I23*K23</f>
        <v>#DIV/0!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8">
        <v>11.0</v>
      </c>
      <c r="B24" s="117" t="s">
        <v>278</v>
      </c>
      <c r="C24" s="118"/>
      <c r="D24" s="30" t="s">
        <v>266</v>
      </c>
      <c r="E24" s="30" t="s">
        <v>267</v>
      </c>
      <c r="F24" s="14" t="s">
        <v>268</v>
      </c>
      <c r="G24" s="14"/>
      <c r="H24" s="15"/>
      <c r="I24" s="15"/>
      <c r="J24" s="4"/>
      <c r="K24" s="31"/>
      <c r="L24" s="32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9"/>
      <c r="B25" s="126"/>
      <c r="C25" s="127"/>
      <c r="D25" s="21"/>
      <c r="E25" s="21"/>
      <c r="F25" s="21"/>
      <c r="G25" s="35"/>
      <c r="H25" s="22">
        <f>SUM(D25,E25,F25,G25)</f>
        <v>0</v>
      </c>
      <c r="I25" s="23" t="str">
        <f>AVERAGE(D25,E25,F25,G25)</f>
        <v>#DIV/0!</v>
      </c>
      <c r="J25" s="4"/>
      <c r="K25" s="122">
        <v>1.0</v>
      </c>
      <c r="L25" s="38"/>
      <c r="M25" s="123" t="str">
        <f>I25*K25</f>
        <v>#DIV/0!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8">
        <v>12.0</v>
      </c>
      <c r="B26" s="117" t="s">
        <v>279</v>
      </c>
      <c r="C26" s="118"/>
      <c r="D26" s="30" t="s">
        <v>266</v>
      </c>
      <c r="E26" s="30" t="s">
        <v>267</v>
      </c>
      <c r="F26" s="14" t="s">
        <v>268</v>
      </c>
      <c r="G26" s="14"/>
      <c r="H26" s="15"/>
      <c r="I26" s="15"/>
      <c r="J26" s="4"/>
      <c r="K26" s="31"/>
      <c r="L26" s="32"/>
      <c r="M26" s="3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9"/>
      <c r="B27" s="126"/>
      <c r="C27" s="127"/>
      <c r="D27" s="21"/>
      <c r="E27" s="21"/>
      <c r="F27" s="21"/>
      <c r="G27" s="35"/>
      <c r="H27" s="22">
        <f>SUM(D27,E27,F27,G27)</f>
        <v>0</v>
      </c>
      <c r="I27" s="23" t="str">
        <f>AVERAGE(D27,E27,F27,G27)</f>
        <v>#DIV/0!</v>
      </c>
      <c r="J27" s="4"/>
      <c r="K27" s="122">
        <v>1.0</v>
      </c>
      <c r="L27" s="38"/>
      <c r="M27" s="123" t="str">
        <f>I27*K27</f>
        <v>#DIV/0!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5" t="s">
        <v>106</v>
      </c>
      <c r="B28" s="65"/>
      <c r="C28" s="65"/>
      <c r="D28" s="65"/>
      <c r="E28" s="65"/>
      <c r="F28" s="65"/>
      <c r="G28" s="65"/>
      <c r="H28" s="130"/>
      <c r="I28" s="131" t="str">
        <f>SUM(I4:I13)</f>
        <v>#DIV/0!</v>
      </c>
      <c r="J28" s="132"/>
      <c r="K28" s="133" t="s">
        <v>6</v>
      </c>
      <c r="L28" s="134"/>
      <c r="M28" s="135" t="str">
        <f>SUM(M4:M13)</f>
        <v>#DIV/0!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37"/>
      <c r="B33" s="137"/>
      <c r="C33" s="137"/>
      <c r="D33" s="137"/>
      <c r="H33" s="138"/>
      <c r="I33" s="138"/>
      <c r="J33" s="138"/>
      <c r="K33" s="138"/>
      <c r="L33" s="138"/>
      <c r="M33" s="13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39"/>
      <c r="B34" s="140"/>
      <c r="C34" s="140"/>
      <c r="D34" s="141"/>
      <c r="E34" s="141"/>
      <c r="F34" s="141"/>
      <c r="G34" s="141"/>
      <c r="H34" s="142"/>
      <c r="I34" s="142"/>
      <c r="J34" s="142"/>
      <c r="K34" s="14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9"/>
      <c r="B35" s="140"/>
      <c r="C35" s="140"/>
      <c r="D35" s="144"/>
      <c r="E35" s="144"/>
      <c r="F35" s="144"/>
      <c r="G35" s="145"/>
      <c r="H35" s="146"/>
      <c r="I35" s="147"/>
      <c r="J35" s="142"/>
      <c r="K35" s="148"/>
      <c r="L35" s="149"/>
      <c r="M35" s="150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39"/>
      <c r="B36" s="140"/>
      <c r="C36" s="140"/>
      <c r="D36" s="141"/>
      <c r="E36" s="141"/>
      <c r="F36" s="141"/>
      <c r="G36" s="141"/>
      <c r="H36" s="142"/>
      <c r="I36" s="142"/>
      <c r="J36" s="142"/>
      <c r="K36" s="14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39"/>
      <c r="B37" s="140"/>
      <c r="C37" s="140"/>
      <c r="D37" s="144"/>
      <c r="E37" s="144"/>
      <c r="F37" s="144"/>
      <c r="G37" s="145"/>
      <c r="H37" s="146"/>
      <c r="I37" s="147"/>
      <c r="J37" s="142"/>
      <c r="K37" s="148"/>
      <c r="L37" s="149"/>
      <c r="M37" s="15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39"/>
      <c r="B38" s="140"/>
      <c r="C38" s="140"/>
      <c r="D38" s="141"/>
      <c r="E38" s="141"/>
      <c r="F38" s="141"/>
      <c r="G38" s="141"/>
      <c r="H38" s="142"/>
      <c r="I38" s="142"/>
      <c r="J38" s="142"/>
      <c r="K38" s="14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39"/>
      <c r="B39" s="140"/>
      <c r="C39" s="140"/>
      <c r="D39" s="144"/>
      <c r="E39" s="144"/>
      <c r="F39" s="144"/>
      <c r="G39" s="145"/>
      <c r="H39" s="146"/>
      <c r="I39" s="147"/>
      <c r="J39" s="142"/>
      <c r="K39" s="148"/>
      <c r="L39" s="149"/>
      <c r="M39" s="150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39"/>
      <c r="B40" s="140"/>
      <c r="C40" s="140"/>
      <c r="D40" s="141"/>
      <c r="E40" s="141"/>
      <c r="F40" s="141"/>
      <c r="G40" s="141"/>
      <c r="H40" s="142"/>
      <c r="I40" s="142"/>
      <c r="J40" s="142"/>
      <c r="K40" s="14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39"/>
      <c r="B41" s="140"/>
      <c r="C41" s="140"/>
      <c r="D41" s="144"/>
      <c r="E41" s="144"/>
      <c r="F41" s="144"/>
      <c r="G41" s="145"/>
      <c r="H41" s="146"/>
      <c r="I41" s="147"/>
      <c r="J41" s="142"/>
      <c r="K41" s="148"/>
      <c r="L41" s="149"/>
      <c r="M41" s="150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39"/>
      <c r="B42" s="140"/>
      <c r="C42" s="140"/>
      <c r="D42" s="141"/>
      <c r="E42" s="141"/>
      <c r="F42" s="141"/>
      <c r="G42" s="141"/>
      <c r="H42" s="142"/>
      <c r="I42" s="142"/>
      <c r="J42" s="142"/>
      <c r="K42" s="14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39"/>
      <c r="B43" s="140"/>
      <c r="C43" s="140"/>
      <c r="D43" s="144"/>
      <c r="E43" s="144"/>
      <c r="F43" s="144"/>
      <c r="G43" s="145"/>
      <c r="H43" s="146"/>
      <c r="I43" s="147"/>
      <c r="J43" s="142"/>
      <c r="K43" s="148"/>
      <c r="L43" s="149"/>
      <c r="M43" s="150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39"/>
      <c r="B44" s="140"/>
      <c r="C44" s="140"/>
      <c r="D44" s="141"/>
      <c r="E44" s="141"/>
      <c r="F44" s="141"/>
      <c r="G44" s="141"/>
      <c r="H44" s="142"/>
      <c r="I44" s="142"/>
      <c r="J44" s="142"/>
      <c r="K44" s="14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39"/>
      <c r="B45" s="140"/>
      <c r="C45" s="140"/>
      <c r="D45" s="151"/>
      <c r="E45" s="151"/>
      <c r="F45" s="144"/>
      <c r="G45" s="145"/>
      <c r="H45" s="146"/>
      <c r="I45" s="147"/>
      <c r="J45" s="142"/>
      <c r="K45" s="148"/>
      <c r="L45" s="149"/>
      <c r="M45" s="150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39"/>
      <c r="B46" s="140"/>
      <c r="C46" s="140"/>
      <c r="D46" s="141"/>
      <c r="E46" s="141"/>
      <c r="F46" s="141"/>
      <c r="G46" s="141"/>
      <c r="H46" s="142"/>
      <c r="I46" s="142"/>
      <c r="J46" s="142"/>
      <c r="K46" s="14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39"/>
      <c r="B47" s="140"/>
      <c r="C47" s="140"/>
      <c r="D47" s="151"/>
      <c r="E47" s="151"/>
      <c r="F47" s="144"/>
      <c r="G47" s="145"/>
      <c r="H47" s="146"/>
      <c r="I47" s="147"/>
      <c r="J47" s="142"/>
      <c r="K47" s="148"/>
      <c r="L47" s="149"/>
      <c r="M47" s="15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52"/>
      <c r="B48" s="152"/>
      <c r="C48" s="152"/>
      <c r="D48" s="152"/>
      <c r="E48" s="152"/>
      <c r="F48" s="152"/>
      <c r="G48" s="152"/>
      <c r="H48" s="152"/>
      <c r="I48" s="153"/>
      <c r="J48" s="142"/>
      <c r="K48" s="137"/>
      <c r="M48" s="15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