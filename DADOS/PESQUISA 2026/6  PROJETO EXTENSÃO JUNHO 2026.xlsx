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KAMILA" sheetId="4" r:id="rId8"/>
    <sheet state="visible" name="TERRA NORTE" sheetId="5" r:id="rId9"/>
    <sheet state="visible" name="PAG POUCO" sheetId="6" r:id="rId10"/>
    <sheet state="visible" name="ROCHA" sheetId="7" r:id="rId11"/>
    <sheet state="visible" name="UNIÃO MEGA FEIRA" sheetId="8" r:id="rId12"/>
    <sheet state="visible" name="CESTÃO BAIRRO" sheetId="9" r:id="rId13"/>
    <sheet state="visible" name="BH VAREJO " sheetId="10" r:id="rId14"/>
    <sheet state="visible" name="CARIBÉ 2" sheetId="11" r:id="rId15"/>
    <sheet state="visible" name="BOM PREÇO " sheetId="12" r:id="rId16"/>
    <sheet state="visible" name="MONTALVÂNIA" sheetId="13" r:id="rId17"/>
    <sheet state="visible" name="SUPER MAAR" sheetId="14" r:id="rId18"/>
    <sheet state="visible" name="COMBUSTÍVEL" sheetId="15" r:id="rId19"/>
    <sheet state="visible" name="MART MINAS " sheetId="16" r:id="rId20"/>
    <sheet state="visible" name="NACIONAL " sheetId="17" r:id="rId21"/>
  </sheets>
  <definedNames/>
  <calcPr/>
</workbook>
</file>

<file path=xl/sharedStrings.xml><?xml version="1.0" encoding="utf-8"?>
<sst xmlns="http://schemas.openxmlformats.org/spreadsheetml/2006/main" count="2587" uniqueCount="341">
  <si>
    <t>Supermercado: KAMILA</t>
  </si>
  <si>
    <t>Mês/ano: 01/01/2026</t>
  </si>
  <si>
    <t>Supermercado: CARIBÉ</t>
  </si>
  <si>
    <t xml:space="preserve">Supermercado: BH atacado </t>
  </si>
  <si>
    <t>Supermercado: CESTÃO DA ECONOMIA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</si>
  <si>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</si>
  <si>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</si>
  <si>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</si>
  <si>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</si>
  <si>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</si>
  <si>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</si>
  <si>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</si>
  <si>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</si>
  <si>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</si>
  <si>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</si>
  <si>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</si>
  <si>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</si>
  <si>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</si>
  <si>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</si>
  <si>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Camil</t>
  </si>
  <si>
    <t xml:space="preserve">Gema de Minas </t>
  </si>
  <si>
    <t>Gema de Minas</t>
  </si>
  <si>
    <t xml:space="preserve">Da Dinha </t>
  </si>
  <si>
    <t>AÇÚCAR (5kg)</t>
  </si>
  <si>
    <t>Delta</t>
  </si>
  <si>
    <t>Bruçúcar</t>
  </si>
  <si>
    <t>Gran Petit</t>
  </si>
  <si>
    <t xml:space="preserve">Delta </t>
  </si>
  <si>
    <t>CAFÉ / em pó (500g)</t>
  </si>
  <si>
    <t>3 Corações</t>
  </si>
  <si>
    <t>Letícia</t>
  </si>
  <si>
    <t>Fino Grão</t>
  </si>
  <si>
    <t xml:space="preserve">Turamã </t>
  </si>
  <si>
    <t>Vasconcelos</t>
  </si>
  <si>
    <t>FARINHA DE TRIGO (1kg)</t>
  </si>
  <si>
    <t>Globo</t>
  </si>
  <si>
    <t>Dona Benta</t>
  </si>
  <si>
    <t>Vilma</t>
  </si>
  <si>
    <t>FARINHA DE MAND. (1kg)</t>
  </si>
  <si>
    <t>Pachá</t>
  </si>
  <si>
    <t>Ama Fil</t>
  </si>
  <si>
    <t>Agric./famíliar</t>
  </si>
  <si>
    <t xml:space="preserve">Globo </t>
  </si>
  <si>
    <t>BATATA (1kg)</t>
  </si>
  <si>
    <t xml:space="preserve">Cristal de minas </t>
  </si>
  <si>
    <t>Batata Inglesa</t>
  </si>
  <si>
    <t>xxxxxxx</t>
  </si>
  <si>
    <t>Milu</t>
  </si>
  <si>
    <t xml:space="preserve">Pachá </t>
  </si>
  <si>
    <t>CEBOLA (1kg)</t>
  </si>
  <si>
    <t>Cebola</t>
  </si>
  <si>
    <t>TOMATE (1kg)</t>
  </si>
  <si>
    <t>Tomate</t>
  </si>
  <si>
    <t>Dona Íri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</si>
  <si>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</si>
  <si>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</si>
  <si>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</si>
  <si>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</si>
  <si>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</si>
  <si>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</si>
  <si>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</si>
  <si>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</si>
  <si>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</si>
  <si>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Xap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</si>
  <si>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</si>
  <si>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</si>
  <si>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</si>
  <si>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</si>
  <si>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</si>
  <si>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</si>
  <si>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</si>
  <si>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</si>
  <si>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</si>
  <si>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</si>
  <si>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Elefante</t>
  </si>
  <si>
    <t>ABC</t>
  </si>
  <si>
    <t>Fugini</t>
  </si>
  <si>
    <t>Liza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</si>
  <si>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</si>
  <si>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</si>
  <si>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</si>
  <si>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</si>
  <si>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</si>
  <si>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</si>
  <si>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</si>
  <si>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</si>
  <si>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</si>
  <si>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Soya</t>
  </si>
  <si>
    <t>BISCOITO MAISENA (pac. 200g)</t>
  </si>
  <si>
    <t>Mabel</t>
  </si>
  <si>
    <t>Marilan</t>
  </si>
  <si>
    <t>Aymoré</t>
  </si>
  <si>
    <t>Claybom</t>
  </si>
  <si>
    <t>Quatá</t>
  </si>
  <si>
    <t>CARNE DE PRIMEIRA (1kg)</t>
  </si>
  <si>
    <t>Contra-filé</t>
  </si>
  <si>
    <t>Alcatra</t>
  </si>
  <si>
    <t>Coxão Mole</t>
  </si>
  <si>
    <t>Dez</t>
  </si>
  <si>
    <t>CARNE DE SEGUNDA (1kg)</t>
  </si>
  <si>
    <t>Acém</t>
  </si>
  <si>
    <t xml:space="preserve">Elefante </t>
  </si>
  <si>
    <t>Costela</t>
  </si>
  <si>
    <t>Coxão Duro</t>
  </si>
  <si>
    <t>FRANGO RESFRIADO INT. (1kg)</t>
  </si>
  <si>
    <t>Frial</t>
  </si>
  <si>
    <t>Sadia</t>
  </si>
  <si>
    <t>Ninfa</t>
  </si>
  <si>
    <t>SALSICHA AVULSA (1kg)</t>
  </si>
  <si>
    <t>Pif-paf</t>
  </si>
  <si>
    <t>LINGUIÇA TOSCANA FRESCA (1kg)</t>
  </si>
  <si>
    <t>Saudali</t>
  </si>
  <si>
    <t>QUEIJO MUSSARELA FAT. (1kg)</t>
  </si>
  <si>
    <t>Vida</t>
  </si>
  <si>
    <t>Vista Alegre</t>
  </si>
  <si>
    <t>Sub-Total</t>
  </si>
  <si>
    <t xml:space="preserve">Ferreira </t>
  </si>
  <si>
    <t>LIMPEZA DOMÉSTICA</t>
  </si>
  <si>
    <t>SABÃO EM PÓ (500g)</t>
  </si>
  <si>
    <t>Tixan Ypê</t>
  </si>
  <si>
    <t>Brilhante</t>
  </si>
  <si>
    <t>OMO</t>
  </si>
  <si>
    <t>SABÃO EM BARRA (unid.)</t>
  </si>
  <si>
    <t>Ypê</t>
  </si>
  <si>
    <t>Minuano</t>
  </si>
  <si>
    <t xml:space="preserve">Piracanjuba </t>
  </si>
  <si>
    <t xml:space="preserve">Perdigão </t>
  </si>
  <si>
    <t>ÁGUA SANITÁRIA (1L)</t>
  </si>
  <si>
    <t>Tuff</t>
  </si>
  <si>
    <t>Qboa</t>
  </si>
  <si>
    <t>Coopatos</t>
  </si>
  <si>
    <t>DETERGENTE (500 ml)</t>
  </si>
  <si>
    <t>Limpol</t>
  </si>
  <si>
    <t>Galo</t>
  </si>
  <si>
    <t>PRODUTOS DE HIGIENE PESSOAL</t>
  </si>
  <si>
    <t xml:space="preserve">Vilma </t>
  </si>
  <si>
    <t>PAPEL HIGIÊNICO (pac. 4 unid.)</t>
  </si>
  <si>
    <t>Bob</t>
  </si>
  <si>
    <t>Valor</t>
  </si>
  <si>
    <t>Personal</t>
  </si>
  <si>
    <t>CREME DENTAL (tubo 90g)</t>
  </si>
  <si>
    <t>Dentil</t>
  </si>
  <si>
    <t>Sorriso</t>
  </si>
  <si>
    <t>Chá de fora</t>
  </si>
  <si>
    <t>SABONETE (90g)</t>
  </si>
  <si>
    <t>Lux</t>
  </si>
  <si>
    <t>Palmolive</t>
  </si>
  <si>
    <t>Super globo</t>
  </si>
  <si>
    <t>Músculo</t>
  </si>
  <si>
    <t>DESODORANTE SPRAY (100ml)</t>
  </si>
  <si>
    <t xml:space="preserve">Rexona </t>
  </si>
  <si>
    <t xml:space="preserve">Monange </t>
  </si>
  <si>
    <t>ABSORVENTE (pac. 8 unid.)</t>
  </si>
  <si>
    <t>Sym</t>
  </si>
  <si>
    <t>Intimus</t>
  </si>
  <si>
    <t xml:space="preserve">Frial </t>
  </si>
  <si>
    <t>Avivar</t>
  </si>
  <si>
    <t>Paradiso</t>
  </si>
  <si>
    <t>Duetto</t>
  </si>
  <si>
    <t xml:space="preserve">Saudalli </t>
  </si>
  <si>
    <t>Colgate</t>
  </si>
  <si>
    <t xml:space="preserve">Primavera </t>
  </si>
  <si>
    <t>Porto Alegre</t>
  </si>
  <si>
    <t>Rexona</t>
  </si>
  <si>
    <t>Sub-Tota</t>
  </si>
  <si>
    <t>Perdigão</t>
  </si>
  <si>
    <t>SABÃO EM PÓ (800g)</t>
  </si>
  <si>
    <t>Primavera</t>
  </si>
  <si>
    <t>Razzo</t>
  </si>
  <si>
    <t>Santa Clara</t>
  </si>
  <si>
    <t>Mais</t>
  </si>
  <si>
    <t xml:space="preserve">Supermercado: TERRA NORTE </t>
  </si>
  <si>
    <t>Mili</t>
  </si>
  <si>
    <t>Zapel plus</t>
  </si>
  <si>
    <t>Dona Íris</t>
  </si>
  <si>
    <t>Azulim</t>
  </si>
  <si>
    <t xml:space="preserve">Albany </t>
  </si>
  <si>
    <t>Nivea</t>
  </si>
  <si>
    <t>Monsil</t>
  </si>
  <si>
    <t>Supermercado: PAG POUCO</t>
  </si>
  <si>
    <t>xxxxxx</t>
  </si>
  <si>
    <t>Serra</t>
  </si>
  <si>
    <t xml:space="preserve">Liza </t>
  </si>
  <si>
    <t>Pif paf</t>
  </si>
  <si>
    <t>Mista</t>
  </si>
  <si>
    <t>Saboroso</t>
  </si>
  <si>
    <t xml:space="preserve">Bauducco </t>
  </si>
  <si>
    <t>Ultra mais</t>
  </si>
  <si>
    <t xml:space="preserve">Músculo </t>
  </si>
  <si>
    <t>Cogran</t>
  </si>
  <si>
    <t>Supermercado: ROCHA</t>
  </si>
  <si>
    <t>Martins</t>
  </si>
  <si>
    <t>Ebom</t>
  </si>
  <si>
    <t xml:space="preserve">Mais Brasil </t>
  </si>
  <si>
    <t>Santa clara</t>
  </si>
  <si>
    <t>3.89</t>
  </si>
  <si>
    <t>Polylar</t>
  </si>
  <si>
    <t xml:space="preserve">Dona Iris </t>
  </si>
  <si>
    <t xml:space="preserve">Gostosão </t>
  </si>
  <si>
    <t>Supermercado: UNIÃO</t>
  </si>
  <si>
    <t>Norte Min.</t>
  </si>
  <si>
    <t>Da dinha</t>
  </si>
  <si>
    <t xml:space="preserve">flamboyant </t>
  </si>
  <si>
    <t>Veleiro</t>
  </si>
  <si>
    <t xml:space="preserve">Supermercado: CESTÃO BAIRRO </t>
  </si>
  <si>
    <t xml:space="preserve">Flamboyant </t>
  </si>
  <si>
    <t xml:space="preserve">Santa Amália </t>
  </si>
  <si>
    <t>Gema de Min</t>
  </si>
  <si>
    <t>15, 98</t>
  </si>
  <si>
    <t>Sinhá</t>
  </si>
  <si>
    <t>Ki sabor</t>
  </si>
  <si>
    <t xml:space="preserve">Ypê </t>
  </si>
  <si>
    <t xml:space="preserve">Saboroso </t>
  </si>
  <si>
    <t>EXTRATO DE TOMATE (300g)</t>
  </si>
  <si>
    <t xml:space="preserve">Colonial </t>
  </si>
  <si>
    <t>Zapel</t>
  </si>
  <si>
    <t>Paloma</t>
  </si>
  <si>
    <t>LEITE EM PÓ (400g)</t>
  </si>
  <si>
    <t>Piracanjuba</t>
  </si>
  <si>
    <t>ferreira</t>
  </si>
  <si>
    <t>Friall</t>
  </si>
  <si>
    <t>Pifpaf</t>
  </si>
  <si>
    <t xml:space="preserve">Premiada </t>
  </si>
  <si>
    <t>SABÃO EM PÓ (400g)</t>
  </si>
  <si>
    <t>Mimo</t>
  </si>
  <si>
    <t>Supermercado: BH atacado varejo</t>
  </si>
  <si>
    <t xml:space="preserve">Closeup </t>
  </si>
  <si>
    <t>Albany</t>
  </si>
  <si>
    <t>Supermercado: CARIBÉ 2</t>
  </si>
  <si>
    <t>Monange</t>
  </si>
  <si>
    <t xml:space="preserve">Dona Íris </t>
  </si>
  <si>
    <t>Da Dinha</t>
  </si>
  <si>
    <t xml:space="preserve">Letícia </t>
  </si>
  <si>
    <t>EXTRATO DE TOMATE (350g)</t>
  </si>
  <si>
    <t xml:space="preserve">Fugini </t>
  </si>
  <si>
    <t xml:space="preserve">Concórdia </t>
  </si>
  <si>
    <t>Patinho</t>
  </si>
  <si>
    <t>Ferreira</t>
  </si>
  <si>
    <t>músculo</t>
  </si>
  <si>
    <t>Copatos</t>
  </si>
  <si>
    <t>Aurora</t>
  </si>
  <si>
    <t>Seara</t>
  </si>
  <si>
    <t>EstreLux</t>
  </si>
  <si>
    <t>Closeup</t>
  </si>
  <si>
    <t>SABONETE (85g)</t>
  </si>
  <si>
    <t>Marina</t>
  </si>
  <si>
    <t xml:space="preserve">Santa Clara </t>
  </si>
  <si>
    <t xml:space="preserve">Super Globo </t>
  </si>
  <si>
    <t xml:space="preserve">Minuano </t>
  </si>
  <si>
    <t xml:space="preserve">Always </t>
  </si>
  <si>
    <t xml:space="preserve">Sublime </t>
  </si>
  <si>
    <t>Mili Bianco</t>
  </si>
  <si>
    <t xml:space="preserve">Supermercado: BOM PREÇO </t>
  </si>
  <si>
    <t>Mais Brasil</t>
  </si>
  <si>
    <t xml:space="preserve">Codil </t>
  </si>
  <si>
    <t>Concordia</t>
  </si>
  <si>
    <t xml:space="preserve">Alcatra </t>
  </si>
  <si>
    <t>Sem marca</t>
  </si>
  <si>
    <t xml:space="preserve">Suínco </t>
  </si>
  <si>
    <t xml:space="preserve">Pif Paf </t>
  </si>
  <si>
    <t>SABÃO EM PÓ (1kg)</t>
  </si>
  <si>
    <t xml:space="preserve">Mili </t>
  </si>
  <si>
    <t>Supermercado: MONTALVÂNIA 2 (perto do pagpouco)</t>
  </si>
  <si>
    <t xml:space="preserve">Martins </t>
  </si>
  <si>
    <t>Lopes</t>
  </si>
  <si>
    <t>Italac</t>
  </si>
  <si>
    <t xml:space="preserve">Princesa </t>
  </si>
  <si>
    <t xml:space="preserve">Avivar </t>
  </si>
  <si>
    <t xml:space="preserve">Ultra mais </t>
  </si>
  <si>
    <t xml:space="preserve">Supermercado: SUPER MAAR </t>
  </si>
  <si>
    <t xml:space="preserve">Mili Bianco </t>
  </si>
  <si>
    <t>Plus</t>
  </si>
  <si>
    <t>Fufu legal</t>
  </si>
  <si>
    <t xml:space="preserve">Ribeirão </t>
  </si>
  <si>
    <t>26, 96</t>
  </si>
  <si>
    <t>Nova Espera</t>
  </si>
  <si>
    <t>Pomodoro</t>
  </si>
  <si>
    <t>Bonare</t>
  </si>
  <si>
    <t>Nutri</t>
  </si>
  <si>
    <t>Yar</t>
  </si>
  <si>
    <t>Aymore</t>
  </si>
  <si>
    <t>COMBUSTÍVEL                                                           Mês/ano: 01/01/2026</t>
  </si>
  <si>
    <t>Postos</t>
  </si>
  <si>
    <t>Produtos</t>
  </si>
  <si>
    <t>Lagarto</t>
  </si>
  <si>
    <t>POSTO BH (1L)</t>
  </si>
  <si>
    <t>Gasolina</t>
  </si>
  <si>
    <t>Álcool</t>
  </si>
  <si>
    <t>Diesel</t>
  </si>
  <si>
    <t xml:space="preserve">Acém </t>
  </si>
  <si>
    <t>POSTO JB COMBUSTIVES (1L)</t>
  </si>
  <si>
    <t>cogran</t>
  </si>
  <si>
    <t>POSTO JB COMBUSTIVES II (1L)</t>
  </si>
  <si>
    <t>POSTO ALVORADA (1L)</t>
  </si>
  <si>
    <t>Suíno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</si>
  <si>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</si>
  <si>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</si>
  <si>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</si>
  <si>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</si>
  <si>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</si>
  <si>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</si>
  <si>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</si>
  <si>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</si>
  <si>
    <t>Palmolivw</t>
  </si>
  <si>
    <t>Cores ( bax flower)</t>
  </si>
  <si>
    <t>Always</t>
  </si>
  <si>
    <t xml:space="preserve">Supermercado: MART MINAS </t>
  </si>
  <si>
    <t xml:space="preserve">Coruripe </t>
  </si>
  <si>
    <t>Cristal de minas</t>
  </si>
  <si>
    <t xml:space="preserve">Rosa Branca </t>
  </si>
  <si>
    <t xml:space="preserve">Bello Sabore </t>
  </si>
  <si>
    <t xml:space="preserve">Pinduca </t>
  </si>
  <si>
    <t>Anchieta</t>
  </si>
  <si>
    <t>Paladori</t>
  </si>
  <si>
    <t>PÃO FRANCÊS (1kg) preço da unidade</t>
  </si>
  <si>
    <t>Bauducco</t>
  </si>
  <si>
    <t xml:space="preserve">Chá de fora </t>
  </si>
  <si>
    <t>FRANGO RESFRIADO INT. (1kg) congelado</t>
  </si>
  <si>
    <t xml:space="preserve">Resende </t>
  </si>
  <si>
    <t>Confran</t>
  </si>
  <si>
    <t xml:space="preserve">Porto Alegre </t>
  </si>
  <si>
    <t>Suprema</t>
  </si>
  <si>
    <t>Sublime</t>
  </si>
  <si>
    <t>CREME DENTAL (tubo 70g)</t>
  </si>
  <si>
    <t>Flor</t>
  </si>
  <si>
    <t xml:space="preserve">Above </t>
  </si>
  <si>
    <t xml:space="preserve">Supermercado: NACIONAL </t>
  </si>
  <si>
    <t>Vasconcellos</t>
  </si>
  <si>
    <t>Coruripe</t>
  </si>
  <si>
    <t>Ribeirão</t>
  </si>
  <si>
    <t>Batata Ingles</t>
  </si>
  <si>
    <t>Ralistinha</t>
  </si>
  <si>
    <t>4.49</t>
  </si>
  <si>
    <t xml:space="preserve">Veleiro </t>
  </si>
  <si>
    <t xml:space="preserve">Integral </t>
  </si>
  <si>
    <t>Don sapore</t>
  </si>
  <si>
    <t>Mara</t>
  </si>
  <si>
    <t>Juvis</t>
  </si>
  <si>
    <t xml:space="preserve">Paleta </t>
  </si>
  <si>
    <t xml:space="preserve">Suíno </t>
  </si>
  <si>
    <t>Saborosa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</si>
</sst>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8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b/>
      <sz val="12.0"/>
      <color theme="1"/>
      <name val="&quot;Times New Roman&quot;"/>
    </font>
    <font/>
    <font>
      <sz val="12.0"/>
      <color theme="1"/>
      <name val="Calibri"/>
    </font>
    <font>
      <sz val="12.0"/>
      <color theme="1"/>
      <name val="&quot;Times New Roman&quot;"/>
    </font>
    <font>
      <b/>
      <sz val="12.0"/>
      <color theme="1"/>
      <name val="Times New Roman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2" numFmtId="0" xfId="0" applyBorder="1" applyFont="1"/>
    <xf borderId="7" fillId="0" fontId="3" numFmtId="0" xfId="0" applyAlignment="1" applyBorder="1" applyFont="1">
      <alignment vertical="bottom"/>
    </xf>
    <xf borderId="0" fillId="0" fontId="2" numFmtId="0" xfId="0" applyFont="1"/>
    <xf borderId="8" fillId="0" fontId="4" numFmtId="0" xfId="0" applyBorder="1" applyFont="1"/>
    <xf borderId="0" fillId="0" fontId="5" numFmtId="0" xfId="0" applyFont="1"/>
    <xf borderId="9" fillId="0" fontId="4" numFmtId="0" xfId="0" applyBorder="1" applyFont="1"/>
    <xf borderId="8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left" readingOrder="0"/>
    </xf>
    <xf borderId="0" fillId="0" fontId="6" numFmtId="0" xfId="0" applyFont="1"/>
    <xf borderId="3" fillId="0" fontId="4" numFmtId="0" xfId="0" applyBorder="1" applyFont="1"/>
    <xf borderId="11" fillId="0" fontId="4" numFmtId="0" xfId="0" applyBorder="1" applyFont="1"/>
    <xf borderId="5" fillId="0" fontId="4" numFmtId="0" xfId="0" applyBorder="1" applyFont="1"/>
    <xf borderId="12" fillId="2" fontId="6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2" fillId="2" fontId="3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3" fillId="2" fontId="6" numFmtId="0" xfId="0" applyAlignment="1" applyBorder="1" applyFont="1">
      <alignment vertical="bottom"/>
    </xf>
    <xf borderId="14" fillId="0" fontId="4" numFmtId="0" xfId="0" applyBorder="1" applyFont="1"/>
    <xf borderId="15" fillId="0" fontId="4" numFmtId="0" xfId="0" applyBorder="1" applyFont="1"/>
    <xf borderId="12" fillId="0" fontId="4" numFmtId="0" xfId="0" applyBorder="1" applyFont="1"/>
    <xf borderId="10" fillId="0" fontId="2" numFmtId="0" xfId="0" applyAlignment="1" applyBorder="1" applyFont="1">
      <alignment horizontal="center" vertical="center"/>
    </xf>
    <xf borderId="12" fillId="0" fontId="8" numFmtId="164" xfId="0" applyAlignment="1" applyBorder="1" applyFont="1" applyNumberFormat="1">
      <alignment horizontal="right" readingOrder="0"/>
    </xf>
    <xf borderId="16" fillId="0" fontId="2" numFmtId="0" xfId="0" applyAlignment="1" applyBorder="1" applyFont="1">
      <alignment horizontal="left" vertical="center"/>
    </xf>
    <xf borderId="17" fillId="2" fontId="2" numFmtId="0" xfId="0" applyAlignment="1" applyBorder="1" applyFont="1">
      <alignment readingOrder="0"/>
    </xf>
    <xf borderId="17" fillId="2" fontId="2" numFmtId="0" xfId="0" applyBorder="1" applyFont="1"/>
    <xf borderId="17" fillId="2" fontId="7" numFmtId="0" xfId="0" applyBorder="1" applyFont="1"/>
    <xf borderId="12" fillId="0" fontId="6" numFmtId="165" xfId="0" applyAlignment="1" applyBorder="1" applyFont="1" applyNumberFormat="1">
      <alignment vertical="bottom"/>
    </xf>
    <xf borderId="18" fillId="3" fontId="2" numFmtId="0" xfId="0" applyBorder="1" applyFill="1" applyFont="1"/>
    <xf borderId="19" fillId="2" fontId="2" numFmtId="0" xfId="0" applyBorder="1" applyFont="1"/>
    <xf borderId="12" fillId="0" fontId="3" numFmtId="165" xfId="0" applyAlignment="1" applyBorder="1" applyFont="1" applyNumberFormat="1">
      <alignment vertical="bottom"/>
    </xf>
    <xf borderId="20" fillId="0" fontId="2" numFmtId="0" xfId="0" applyAlignment="1" applyBorder="1" applyFont="1">
      <alignment horizontal="right" vertical="bottom"/>
    </xf>
    <xf borderId="12" fillId="0" fontId="6" numFmtId="0" xfId="0" applyAlignment="1" applyBorder="1" applyFont="1">
      <alignment horizontal="center" vertical="bottom"/>
    </xf>
    <xf borderId="21" fillId="0" fontId="4" numFmtId="0" xfId="0" applyBorder="1" applyFont="1"/>
    <xf borderId="13" fillId="0" fontId="6" numFmtId="165" xfId="0" applyAlignment="1" applyBorder="1" applyFont="1" applyNumberFormat="1">
      <alignment horizontal="center" vertical="bottom"/>
    </xf>
    <xf borderId="20" fillId="0" fontId="9" numFmtId="164" xfId="0" applyAlignment="1" applyBorder="1" applyFont="1" applyNumberFormat="1">
      <alignment readingOrder="0" vertical="center"/>
    </xf>
    <xf borderId="12" fillId="2" fontId="6" numFmtId="0" xfId="0" applyAlignment="1" applyBorder="1" applyFont="1">
      <alignment readingOrder="0" vertical="bottom"/>
    </xf>
    <xf borderId="22" fillId="2" fontId="10" numFmtId="0" xfId="0" applyAlignment="1" applyBorder="1" applyFont="1">
      <alignment vertical="bottom"/>
    </xf>
    <xf borderId="20" fillId="0" fontId="2" numFmtId="165" xfId="0" applyAlignment="1" applyBorder="1" applyFont="1" applyNumberFormat="1">
      <alignment horizontal="left"/>
    </xf>
    <xf borderId="15" fillId="0" fontId="11" numFmtId="0" xfId="0" applyBorder="1" applyFont="1"/>
    <xf borderId="13" fillId="0" fontId="11" numFmtId="0" xfId="0" applyBorder="1" applyFont="1"/>
    <xf borderId="20" fillId="0" fontId="7" numFmtId="165" xfId="0" applyAlignment="1" applyBorder="1" applyFont="1" applyNumberFormat="1">
      <alignment horizontal="left"/>
    </xf>
    <xf borderId="20" fillId="0" fontId="2" numFmtId="0" xfId="0" applyAlignment="1" applyBorder="1" applyFont="1">
      <alignment horizontal="right" vertical="bottom"/>
    </xf>
    <xf borderId="20" fillId="0" fontId="2" numFmtId="0" xfId="0" applyAlignment="1" applyBorder="1" applyFont="1">
      <alignment horizontal="center"/>
    </xf>
    <xf borderId="23" fillId="0" fontId="2" numFmtId="165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6" fillId="0" fontId="4" numFmtId="0" xfId="0" applyBorder="1" applyFont="1"/>
    <xf borderId="20" fillId="2" fontId="2" numFmtId="0" xfId="0" applyBorder="1" applyFont="1"/>
    <xf borderId="20" fillId="2" fontId="2" numFmtId="0" xfId="0" applyAlignment="1" applyBorder="1" applyFont="1">
      <alignment readingOrder="0"/>
    </xf>
    <xf borderId="27" fillId="3" fontId="2" numFmtId="0" xfId="0" applyBorder="1" applyFont="1"/>
    <xf borderId="22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12" fillId="0" fontId="1" numFmtId="164" xfId="0" applyBorder="1" applyFont="1" applyNumberFormat="1"/>
    <xf borderId="20" fillId="0" fontId="9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5" fillId="0" fontId="8" numFmtId="0" xfId="0" applyAlignment="1" applyBorder="1" applyFont="1">
      <alignment horizontal="center" vertical="bottom"/>
    </xf>
    <xf borderId="13" fillId="0" fontId="8" numFmtId="165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horizontal="center" vertical="bottom"/>
    </xf>
    <xf borderId="12" fillId="0" fontId="8" numFmtId="164" xfId="0" applyAlignment="1" applyBorder="1" applyFont="1" applyNumberFormat="1">
      <alignment horizontal="right"/>
    </xf>
    <xf borderId="12" fillId="0" fontId="6" numFmtId="0" xfId="0" applyAlignment="1" applyBorder="1" applyFont="1">
      <alignment horizontal="right" vertical="bottom"/>
    </xf>
    <xf borderId="32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3" fillId="0" fontId="1" numFmtId="165" xfId="0" applyAlignment="1" applyBorder="1" applyFont="1" applyNumberFormat="1">
      <alignment vertical="bottom"/>
    </xf>
    <xf borderId="0" fillId="0" fontId="2" numFmtId="0" xfId="0" applyAlignment="1" applyFont="1">
      <alignment horizontal="left"/>
    </xf>
    <xf borderId="15" fillId="0" fontId="1" numFmtId="0" xfId="0" applyAlignment="1" applyBorder="1" applyFont="1">
      <alignment vertical="bottom"/>
    </xf>
    <xf borderId="15" fillId="0" fontId="1" numFmtId="165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4" fillId="0" fontId="9" numFmtId="0" xfId="0" applyAlignment="1" applyBorder="1" applyFont="1">
      <alignment horizontal="center" readingOrder="0"/>
    </xf>
    <xf borderId="28" fillId="0" fontId="4" numFmtId="0" xfId="0" applyBorder="1" applyFont="1"/>
    <xf borderId="35" fillId="0" fontId="4" numFmtId="0" xfId="0" applyBorder="1" applyFont="1"/>
    <xf borderId="22" fillId="0" fontId="9" numFmtId="165" xfId="0" applyBorder="1" applyFont="1" applyNumberFormat="1"/>
    <xf borderId="20" fillId="0" fontId="2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4" fillId="0" fontId="7" numFmtId="0" xfId="0" applyAlignment="1" applyBorder="1" applyFont="1">
      <alignment horizontal="center"/>
    </xf>
    <xf borderId="29" fillId="0" fontId="4" numFmtId="0" xfId="0" applyBorder="1" applyFont="1"/>
    <xf borderId="25" fillId="0" fontId="2" numFmtId="0" xfId="0" applyAlignment="1" applyBorder="1" applyFont="1">
      <alignment horizontal="left" readingOrder="0" vertical="center"/>
    </xf>
    <xf borderId="22" fillId="2" fontId="2" numFmtId="0" xfId="0" applyAlignment="1" applyBorder="1" applyFont="1">
      <alignment horizontal="center"/>
    </xf>
    <xf borderId="20" fillId="0" fontId="2" numFmtId="0" xfId="0" applyAlignment="1" applyBorder="1" applyFont="1">
      <alignment horizontal="right"/>
    </xf>
    <xf borderId="34" fillId="0" fontId="9" numFmtId="0" xfId="0" applyAlignment="1" applyBorder="1" applyFont="1">
      <alignment horizontal="center"/>
    </xf>
    <xf borderId="20" fillId="0" fontId="9" numFmtId="165" xfId="0" applyBorder="1" applyFont="1" applyNumberFormat="1"/>
    <xf borderId="23" fillId="0" fontId="9" numFmtId="165" xfId="0" applyBorder="1" applyFont="1" applyNumberFormat="1"/>
    <xf borderId="3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3" fillId="0" fontId="9" numFmtId="165" xfId="0" applyBorder="1" applyFont="1" applyNumberFormat="1"/>
    <xf borderId="20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2" fillId="0" fontId="13" numFmtId="164" xfId="0" applyAlignment="1" applyBorder="1" applyFont="1" applyNumberFormat="1">
      <alignment readingOrder="0"/>
    </xf>
    <xf borderId="2" fillId="0" fontId="2" numFmtId="166" xfId="0" applyAlignment="1" applyBorder="1" applyFont="1" applyNumberFormat="1">
      <alignment readingOrder="0"/>
    </xf>
    <xf borderId="2" fillId="0" fontId="7" numFmtId="0" xfId="0" applyAlignment="1" applyBorder="1" applyFont="1">
      <alignment horizontal="center" readingOrder="0"/>
    </xf>
    <xf borderId="4" fillId="0" fontId="4" numFmtId="0" xfId="0" applyBorder="1" applyFont="1"/>
    <xf borderId="6" fillId="0" fontId="4" numFmtId="0" xfId="0" applyBorder="1" applyFont="1"/>
    <xf borderId="22" fillId="0" fontId="7" numFmtId="0" xfId="0" applyAlignment="1" applyBorder="1" applyFont="1">
      <alignment horizontal="center"/>
    </xf>
    <xf borderId="20" fillId="0" fontId="7" numFmtId="0" xfId="0" applyBorder="1" applyFont="1"/>
    <xf borderId="23" fillId="0" fontId="7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4" numFmtId="0" xfId="0" applyBorder="1" applyFont="1"/>
    <xf borderId="32" fillId="0" fontId="4" numFmtId="0" xfId="0" applyBorder="1" applyFont="1"/>
    <xf borderId="16" fillId="0" fontId="4" numFmtId="0" xfId="0" applyBorder="1" applyFont="1"/>
    <xf borderId="11" fillId="0" fontId="4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4" numFmtId="0" xfId="0" applyBorder="1" applyFont="1"/>
    <xf borderId="21" fillId="0" fontId="4" numFmtId="0" xfId="0" applyBorder="1" applyFont="1"/>
    <xf borderId="12" fillId="0" fontId="4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4" numFmtId="0" xfId="0" applyBorder="1" applyFont="1"/>
    <xf borderId="39" fillId="0" fontId="4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4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Font="1"/>
    <xf borderId="0" fillId="0" fontId="14" numFmtId="164" xfId="0" applyAlignment="1" applyFont="1" applyNumberFormat="1">
      <alignment horizontal="right" readingOrder="0"/>
    </xf>
    <xf borderId="0" fillId="0" fontId="16" numFmtId="164" xfId="0" applyFont="1" applyNumberFormat="1"/>
    <xf borderId="0" fillId="0" fontId="15" numFmtId="165" xfId="0" applyAlignment="1" applyFont="1" applyNumberFormat="1">
      <alignment vertical="bottom"/>
    </xf>
    <xf borderId="0" fillId="0" fontId="14" numFmtId="165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center" vertical="bottom"/>
    </xf>
    <xf borderId="0" fillId="0" fontId="15" numFmtId="164" xfId="0" applyAlignment="1" applyFont="1" applyNumberFormat="1">
      <alignment horizontal="right" readingOrder="0"/>
    </xf>
    <xf borderId="0" fillId="0" fontId="14" numFmtId="0" xfId="0" applyAlignment="1" applyFont="1">
      <alignment horizontal="center" readingOrder="0" vertical="bottom"/>
    </xf>
    <xf borderId="0" fillId="0" fontId="14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3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2" t="s">
        <v>6</v>
      </c>
      <c r="E3" s="33" t="s">
        <v>7</v>
      </c>
      <c r="F3" s="32" t="s">
        <v>14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17.8</v>
      </c>
      <c r="E4" s="43">
        <v>15.98</v>
      </c>
      <c r="F4" s="43">
        <v>23.9</v>
      </c>
      <c r="G4" s="46">
        <f>SUM(D4,E4,F4)</f>
        <v>57.68</v>
      </c>
      <c r="H4" s="49">
        <f>AVERAGE(D4,E4,F4)</f>
        <v>19.22666667</v>
      </c>
      <c r="I4" s="36"/>
      <c r="J4" s="50">
        <v>0.6</v>
      </c>
      <c r="K4" s="51" t="s">
        <v>15</v>
      </c>
      <c r="L4" s="52">
        <f>H4*J4</f>
        <v>11.536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7" t="s">
        <v>32</v>
      </c>
      <c r="F5" s="32" t="s">
        <v>33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8.68</v>
      </c>
      <c r="E6" s="43">
        <v>7.78</v>
      </c>
      <c r="F6" s="43">
        <v>10.68</v>
      </c>
      <c r="G6" s="46">
        <f>SUM(D6,E6,F6)</f>
        <v>27.14</v>
      </c>
      <c r="H6" s="49">
        <f>AVERAGE(D6,E6,F6)</f>
        <v>9.046666667</v>
      </c>
      <c r="I6" s="36"/>
      <c r="J6" s="50">
        <v>4.0</v>
      </c>
      <c r="K6" s="51"/>
      <c r="L6" s="52">
        <f>H6*J6</f>
        <v>36.18666667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7" t="s">
        <v>44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12.75</v>
      </c>
      <c r="E8" s="43">
        <v>13.3</v>
      </c>
      <c r="F8" s="43">
        <v>13.03</v>
      </c>
      <c r="G8" s="46">
        <f>SUM(D8,E8,F8)</f>
        <v>39.08</v>
      </c>
      <c r="H8" s="49">
        <f>AVERAGE(D8,E8,F8)</f>
        <v>13.02666667</v>
      </c>
      <c r="I8" s="36"/>
      <c r="J8" s="50">
        <v>0.6</v>
      </c>
      <c r="K8" s="51"/>
      <c r="L8" s="52">
        <f>H8*J8</f>
        <v>7.816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2" t="s">
        <v>53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27.9</v>
      </c>
      <c r="E10" s="43">
        <v>23.9</v>
      </c>
      <c r="F10" s="43">
        <v>23.95</v>
      </c>
      <c r="G10" s="46">
        <f>SUM(D10,E10,F10)</f>
        <v>75.75</v>
      </c>
      <c r="H10" s="49">
        <f>AVERAGE(D10,E10,F10)</f>
        <v>25.25</v>
      </c>
      <c r="I10" s="36"/>
      <c r="J10" s="50">
        <v>1.2</v>
      </c>
      <c r="K10" s="51"/>
      <c r="L10" s="52">
        <f>H10*J10</f>
        <v>30.3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6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4.98</v>
      </c>
      <c r="E12" s="43">
        <v>4.48</v>
      </c>
      <c r="F12" s="43">
        <v>5.48</v>
      </c>
      <c r="G12" s="46">
        <f>SUM(D12,E12,F12)</f>
        <v>14.94</v>
      </c>
      <c r="H12" s="49">
        <f>AVERAGE(D12,E12,F12)</f>
        <v>4.98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6" t="s">
        <v>39</v>
      </c>
      <c r="E13" s="57" t="s">
        <v>63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4.78</v>
      </c>
      <c r="E14" s="43">
        <v>5.68</v>
      </c>
      <c r="F14" s="43">
        <v>5.23</v>
      </c>
      <c r="G14" s="46">
        <f>SUM(D14,E14,F14)</f>
        <v>15.69</v>
      </c>
      <c r="H14" s="49">
        <f>AVERAGE(D14,E14,F14)</f>
        <v>5.23</v>
      </c>
      <c r="I14" s="36"/>
      <c r="J14" s="50">
        <v>1.0</v>
      </c>
      <c r="K14" s="51"/>
      <c r="L14" s="52">
        <f>H14*J14</f>
        <v>5.23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8.98</v>
      </c>
      <c r="E16" s="63"/>
      <c r="F16" s="63"/>
      <c r="G16" s="46">
        <f>SUM(D16,E16,F16)</f>
        <v>8.98</v>
      </c>
      <c r="H16" s="49">
        <f>AVERAGE(D16,E16,F16)</f>
        <v>8.98</v>
      </c>
      <c r="I16" s="36"/>
      <c r="J16" s="50">
        <v>6.0</v>
      </c>
      <c r="K16" s="51"/>
      <c r="L16" s="52">
        <f>H16*J16</f>
        <v>53.88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7.79</v>
      </c>
      <c r="E18" s="63"/>
      <c r="F18" s="63"/>
      <c r="G18" s="46">
        <f>SUM(D18,E18,F18)</f>
        <v>7.79</v>
      </c>
      <c r="H18" s="49">
        <f>AVERAGE(D18,E18,F18)</f>
        <v>7.79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10.98</v>
      </c>
      <c r="E20" s="63"/>
      <c r="F20" s="63"/>
      <c r="G20" s="46">
        <f>SUM(D20,E20,F20)</f>
        <v>10.98</v>
      </c>
      <c r="H20" s="49">
        <f>AVERAGE(D20,E20,F20)</f>
        <v>10.98</v>
      </c>
      <c r="I20" s="36"/>
      <c r="J20" s="50">
        <v>9.0</v>
      </c>
      <c r="K20" s="51"/>
      <c r="L20" s="52">
        <f>H20*J20</f>
        <v>98.82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17.98</v>
      </c>
      <c r="E22" s="63"/>
      <c r="F22" s="63"/>
      <c r="G22" s="46">
        <f>SUM(D22,E22,F22)</f>
        <v>17.98</v>
      </c>
      <c r="H22" s="49">
        <f>AVERAGE(D22,E22,F22)</f>
        <v>17.98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9.98</v>
      </c>
      <c r="E24" s="43">
        <v>9.98</v>
      </c>
      <c r="F24" s="63"/>
      <c r="G24" s="46">
        <f>SUM(D24,E24,F24)</f>
        <v>19.96</v>
      </c>
      <c r="H24" s="49">
        <f>AVERAGE(D24,E24,F24)</f>
        <v>9.98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7" t="s">
        <v>92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5.98</v>
      </c>
      <c r="E26" s="43">
        <v>3.78</v>
      </c>
      <c r="F26" s="43">
        <v>4.78</v>
      </c>
      <c r="G26" s="46">
        <f>SUM(D26,E26,F26)</f>
        <v>14.54</v>
      </c>
      <c r="H26" s="49">
        <f>AVERAGE(D26,E26,F26)</f>
        <v>4.846666667</v>
      </c>
      <c r="I26" s="9"/>
      <c r="J26" s="50">
        <v>3.0</v>
      </c>
      <c r="K26" s="51"/>
      <c r="L26" s="52">
        <f>H26*J26</f>
        <v>14.54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54" t="s">
        <v>64</v>
      </c>
      <c r="C27" s="55"/>
      <c r="D27" s="56" t="s">
        <v>65</v>
      </c>
      <c r="E27" s="57" t="s">
        <v>101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6.23</v>
      </c>
      <c r="E28" s="43">
        <v>6.98</v>
      </c>
      <c r="F28" s="43">
        <v>5.48</v>
      </c>
      <c r="G28" s="46">
        <f>SUM(D28,E28,F28)</f>
        <v>18.69</v>
      </c>
      <c r="H28" s="49">
        <f>AVERAGE(D28,E28,F28)</f>
        <v>6.23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14.8</v>
      </c>
      <c r="E30" s="63"/>
      <c r="F30" s="63"/>
      <c r="G30" s="46">
        <f>SUM(D30,E30,F30)</f>
        <v>14.8</v>
      </c>
      <c r="H30" s="49">
        <f>AVERAGE(D30,E30,F30)</f>
        <v>14.8</v>
      </c>
      <c r="I30" s="9"/>
      <c r="J30" s="50">
        <v>6.0</v>
      </c>
      <c r="K30" s="51"/>
      <c r="L30" s="52">
        <f>H30*J30</f>
        <v>88.8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7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3.98</v>
      </c>
      <c r="E32" s="43">
        <v>5.98</v>
      </c>
      <c r="F32" s="63"/>
      <c r="G32" s="46">
        <f>SUM(D32,E32,F32)</f>
        <v>9.96</v>
      </c>
      <c r="H32" s="49">
        <f>AVERAGE(D32,E32,F32)</f>
        <v>4.98</v>
      </c>
      <c r="I32" s="9"/>
      <c r="J32" s="50">
        <v>7.5</v>
      </c>
      <c r="K32" s="51"/>
      <c r="L32" s="52">
        <f>H32*J32</f>
        <v>37.35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7" t="s">
        <v>75</v>
      </c>
      <c r="E33" s="57" t="s">
        <v>77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6.98</v>
      </c>
      <c r="E34" s="43">
        <v>6.98</v>
      </c>
      <c r="F34" s="43">
        <v>6.98</v>
      </c>
      <c r="G34" s="46">
        <f>SUM(D34,E34,F34)</f>
        <v>20.94</v>
      </c>
      <c r="H34" s="49">
        <f>AVERAGE(D34,E34,F34)</f>
        <v>6.98</v>
      </c>
      <c r="I34" s="9"/>
      <c r="J34" s="50">
        <v>0.83</v>
      </c>
      <c r="K34" s="51"/>
      <c r="L34" s="52">
        <f>H34*J34</f>
        <v>5.7934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3" t="s">
        <v>82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5.48</v>
      </c>
      <c r="E36" s="43">
        <v>5.03</v>
      </c>
      <c r="F36" s="43">
        <v>4.58</v>
      </c>
      <c r="G36" s="46">
        <f>SUM(D36,E36,F36)</f>
        <v>15.09</v>
      </c>
      <c r="H36" s="49">
        <f>AVERAGE(D36,E36,F36)</f>
        <v>5.03</v>
      </c>
      <c r="I36" s="9"/>
      <c r="J36" s="50">
        <v>7.5</v>
      </c>
      <c r="K36" s="51"/>
      <c r="L36" s="52">
        <f>H36*J36</f>
        <v>37.725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54" t="s">
        <v>83</v>
      </c>
      <c r="C37" s="55"/>
      <c r="D37" s="56" t="s">
        <v>80</v>
      </c>
      <c r="E37" s="57" t="s">
        <v>125</v>
      </c>
      <c r="F37" s="33" t="s">
        <v>82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16.98</v>
      </c>
      <c r="E38" s="43">
        <v>15.98</v>
      </c>
      <c r="F38" s="43">
        <v>15.98</v>
      </c>
      <c r="G38" s="46">
        <f>SUM(D38,E38,F38)</f>
        <v>48.94</v>
      </c>
      <c r="H38" s="49">
        <f>AVERAGE(D38,E38,F38)</f>
        <v>16.31333333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7" t="s">
        <v>133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4.78</v>
      </c>
      <c r="E40" s="43">
        <v>3.98</v>
      </c>
      <c r="F40" s="43">
        <v>4.4</v>
      </c>
      <c r="G40" s="46">
        <f>SUM(D40,E40,F40)</f>
        <v>13.16</v>
      </c>
      <c r="H40" s="49">
        <f>AVERAGE(D40,E40,F40)</f>
        <v>4.386666667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135</v>
      </c>
      <c r="E41" s="56" t="s">
        <v>90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>
        <v>2.78</v>
      </c>
      <c r="E42" s="43">
        <v>2.58</v>
      </c>
      <c r="F42" s="43">
        <v>2.98</v>
      </c>
      <c r="G42" s="46">
        <f>SUM(D42,E42,F42)</f>
        <v>8.34</v>
      </c>
      <c r="H42" s="49">
        <f>AVERAGE(D42,E42,F42)</f>
        <v>2.78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2" t="s">
        <v>143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49.88</v>
      </c>
      <c r="E44" s="43">
        <v>44.9</v>
      </c>
      <c r="F44" s="43">
        <v>39.9</v>
      </c>
      <c r="G44" s="46">
        <f>SUM(D44,E44,F44)</f>
        <v>134.68</v>
      </c>
      <c r="H44" s="49">
        <f>AVERAGE(D44,E44,F44)</f>
        <v>44.89333333</v>
      </c>
      <c r="I44" s="9"/>
      <c r="J44" s="50">
        <v>3.0</v>
      </c>
      <c r="K44" s="51"/>
      <c r="L44" s="52">
        <f>H44*J44</f>
        <v>134.68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2" t="s">
        <v>148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34.9</v>
      </c>
      <c r="E46" s="43">
        <v>30.98</v>
      </c>
      <c r="F46" s="43">
        <v>33.8</v>
      </c>
      <c r="G46" s="46">
        <f>SUM(D46,E46,F46)</f>
        <v>99.68</v>
      </c>
      <c r="H46" s="49">
        <f>AVERAGE(D46,E46,F46)</f>
        <v>33.22666667</v>
      </c>
      <c r="I46" s="9"/>
      <c r="J46" s="50">
        <v>3.0</v>
      </c>
      <c r="K46" s="51"/>
      <c r="L46" s="52">
        <f>H46*J46</f>
        <v>99.68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7" t="s">
        <v>155</v>
      </c>
      <c r="E47" s="56" t="s">
        <v>106</v>
      </c>
      <c r="F47" s="33" t="s">
        <v>46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7.98</v>
      </c>
      <c r="E48" s="43">
        <v>7.98</v>
      </c>
      <c r="F48" s="43"/>
      <c r="G48" s="46">
        <f>SUM(D48,E48,F48)</f>
        <v>15.96</v>
      </c>
      <c r="H48" s="49">
        <f>AVERAGE(D48,E48,F48)</f>
        <v>7.98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6" t="s">
        <v>105</v>
      </c>
      <c r="E49" s="57" t="s">
        <v>156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6.98</v>
      </c>
      <c r="E50" s="43">
        <v>13.7</v>
      </c>
      <c r="F50" s="43">
        <v>8.98</v>
      </c>
      <c r="G50" s="46">
        <f>SUM(D50,E50,F50)</f>
        <v>29.66</v>
      </c>
      <c r="H50" s="49">
        <f>AVERAGE(D50,E50,F50)</f>
        <v>9.886666667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126</v>
      </c>
      <c r="E51" s="56" t="s">
        <v>106</v>
      </c>
      <c r="F51" s="32" t="s">
        <v>159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15.8</v>
      </c>
      <c r="E52" s="43">
        <v>20.9</v>
      </c>
      <c r="F52" s="43">
        <v>13.98</v>
      </c>
      <c r="G52" s="46">
        <f>SUM(D52,E52,F52)</f>
        <v>50.68</v>
      </c>
      <c r="H52" s="49">
        <f>AVERAGE(D52,E52,F52)</f>
        <v>16.89333333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7" t="s">
        <v>161</v>
      </c>
      <c r="E53" s="56" t="s">
        <v>66</v>
      </c>
      <c r="F53" s="32" t="s">
        <v>162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37.98</v>
      </c>
      <c r="E54" s="43">
        <v>34.95</v>
      </c>
      <c r="F54" s="43">
        <v>39.98</v>
      </c>
      <c r="G54" s="46">
        <f>SUM(D54,E54,F54)</f>
        <v>112.91</v>
      </c>
      <c r="H54" s="49">
        <f>AVERAGE(D54,E54,F54)</f>
        <v>37.63666667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8" t="s">
        <v>164</v>
      </c>
      <c r="B55" s="89"/>
      <c r="C55" s="89"/>
      <c r="D55" s="89"/>
      <c r="E55" s="89"/>
      <c r="F55" s="89"/>
      <c r="G55" s="90"/>
      <c r="H55" s="91">
        <f>SUM(H4:H54)</f>
        <v>349.3333333</v>
      </c>
      <c r="I55" s="92"/>
      <c r="J55" s="93" t="s">
        <v>9</v>
      </c>
      <c r="K55" s="90"/>
      <c r="L55" s="94">
        <f>SUM(L4:L54)</f>
        <v>662.3370667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166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10.9</v>
      </c>
      <c r="E58" s="43">
        <v>11.9</v>
      </c>
      <c r="F58" s="43">
        <v>14.9</v>
      </c>
      <c r="G58" s="46">
        <f>SUM(D58,E58,F58)</f>
        <v>37.7</v>
      </c>
      <c r="H58" s="49">
        <f>AVERAGE(D58,E58,F58)</f>
        <v>12.56666667</v>
      </c>
      <c r="I58" s="9"/>
      <c r="J58" s="99">
        <v>4.0</v>
      </c>
      <c r="K58" s="51"/>
      <c r="L58" s="52">
        <f>H58*J58</f>
        <v>50.26666667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7" t="s">
        <v>168</v>
      </c>
      <c r="E59" s="57" t="s">
        <v>123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2.95</v>
      </c>
      <c r="E60" s="43">
        <v>4.98</v>
      </c>
      <c r="F60" s="63"/>
      <c r="G60" s="46">
        <f>SUM(D60,E60,F60)</f>
        <v>7.93</v>
      </c>
      <c r="H60" s="49">
        <f>AVERAGE(D60,E60,F60)</f>
        <v>3.965</v>
      </c>
      <c r="I60" s="9"/>
      <c r="J60" s="99">
        <v>15.0</v>
      </c>
      <c r="K60" s="51"/>
      <c r="L60" s="52">
        <f>H60*J60</f>
        <v>59.475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169</v>
      </c>
      <c r="F61" s="32" t="s">
        <v>170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4.17</v>
      </c>
      <c r="E62" s="43">
        <v>4.39</v>
      </c>
      <c r="F62" s="43">
        <v>3.95</v>
      </c>
      <c r="G62" s="46">
        <f>SUM(D62,E62,F62)</f>
        <v>12.51</v>
      </c>
      <c r="H62" s="49">
        <f>AVERAGE(D62,E62,F62)</f>
        <v>4.17</v>
      </c>
      <c r="I62" s="9"/>
      <c r="J62" s="99">
        <v>2.0</v>
      </c>
      <c r="K62" s="51"/>
      <c r="L62" s="52">
        <f>H62*J62</f>
        <v>8.34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6" t="s">
        <v>124</v>
      </c>
      <c r="F63" s="33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2.58</v>
      </c>
      <c r="E64" s="43">
        <v>2.59</v>
      </c>
      <c r="F64" s="43">
        <v>2.48</v>
      </c>
      <c r="G64" s="46">
        <f>SUM(D64,E64,F64)</f>
        <v>7.65</v>
      </c>
      <c r="H64" s="49">
        <f>AVERAGE(D64,E64,F64)</f>
        <v>2.55</v>
      </c>
      <c r="I64" s="9"/>
      <c r="J64" s="99">
        <v>2.0</v>
      </c>
      <c r="K64" s="51"/>
      <c r="L64" s="52">
        <f>H64*J64</f>
        <v>5.1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23.25166667</v>
      </c>
      <c r="I65" s="92"/>
      <c r="J65" s="93" t="s">
        <v>9</v>
      </c>
      <c r="K65" s="90"/>
      <c r="L65" s="94">
        <f>SUM(L57:L64)</f>
        <v>123.1816667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172</v>
      </c>
      <c r="E67" s="57" t="s">
        <v>173</v>
      </c>
      <c r="F67" s="32" t="s">
        <v>137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6.6</v>
      </c>
      <c r="E68" s="43">
        <v>5.28</v>
      </c>
      <c r="F68" s="43">
        <v>5.15</v>
      </c>
      <c r="G68" s="46">
        <f>SUM(D68,E68,F68)</f>
        <v>17.03</v>
      </c>
      <c r="H68" s="49">
        <f>AVERAGE(D68,E68,F68)</f>
        <v>5.676666667</v>
      </c>
      <c r="I68" s="9"/>
      <c r="J68" s="99">
        <v>3.0</v>
      </c>
      <c r="K68" s="51"/>
      <c r="L68" s="52">
        <f>H68*J68</f>
        <v>17.03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5.98</v>
      </c>
      <c r="E70" s="43">
        <v>4.49</v>
      </c>
      <c r="F70" s="63"/>
      <c r="G70" s="46">
        <f>SUM(D70,E70,F70)</f>
        <v>10.47</v>
      </c>
      <c r="H70" s="49">
        <f>AVERAGE(D70,E70,F70)</f>
        <v>5.235</v>
      </c>
      <c r="I70" s="9"/>
      <c r="J70" s="99">
        <v>2.0</v>
      </c>
      <c r="K70" s="51"/>
      <c r="L70" s="52">
        <f>H70*J70</f>
        <v>10.47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6" t="s">
        <v>146</v>
      </c>
      <c r="F71" s="32" t="s">
        <v>176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2.59</v>
      </c>
      <c r="E72" s="43">
        <v>2.7</v>
      </c>
      <c r="F72" s="43">
        <v>1.98</v>
      </c>
      <c r="G72" s="46">
        <f>SUM(D72,E72,F72)</f>
        <v>7.27</v>
      </c>
      <c r="H72" s="49">
        <f>AVERAGE(D72,E72,F72)</f>
        <v>2.423333333</v>
      </c>
      <c r="I72" s="9"/>
      <c r="J72" s="99">
        <v>10.0</v>
      </c>
      <c r="K72" s="51"/>
      <c r="L72" s="52">
        <f>H72*J72</f>
        <v>24.23333333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177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16.8</v>
      </c>
      <c r="E74" s="43">
        <v>14.8</v>
      </c>
      <c r="F74" s="63"/>
      <c r="G74" s="46">
        <f>SUM(D74,E74,F74)</f>
        <v>31.6</v>
      </c>
      <c r="H74" s="49">
        <f>AVERAGE(D74,E74,F74)</f>
        <v>15.8</v>
      </c>
      <c r="I74" s="9"/>
      <c r="J74" s="99">
        <v>2.0</v>
      </c>
      <c r="K74" s="51"/>
      <c r="L74" s="52">
        <f>H74*J74</f>
        <v>31.6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6" t="s">
        <v>154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5.98</v>
      </c>
      <c r="E76" s="43">
        <v>10.9</v>
      </c>
      <c r="F76" s="63"/>
      <c r="G76" s="46">
        <f>SUM(D76,E76,F76)</f>
        <v>16.88</v>
      </c>
      <c r="H76" s="49">
        <f>AVERAGE(D76,E76,F76)</f>
        <v>8.44</v>
      </c>
      <c r="I76" s="9"/>
      <c r="J76" s="99">
        <v>1.0</v>
      </c>
      <c r="K76" s="51"/>
      <c r="L76" s="52">
        <f>H76*J76</f>
        <v>8.44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37.575</v>
      </c>
      <c r="I77" s="92"/>
      <c r="J77" s="93" t="s">
        <v>9</v>
      </c>
      <c r="K77" s="90"/>
      <c r="L77" s="102">
        <f>SUM(L68:L76)</f>
        <v>91.77333333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410.16</v>
      </c>
      <c r="I80" s="9"/>
      <c r="J80" s="9"/>
      <c r="K80" s="107" t="s">
        <v>9</v>
      </c>
      <c r="L80" s="102">
        <f>L55+L65+L77</f>
        <v>877.2920667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  <c r="O1" s="6"/>
      <c r="P1" s="6"/>
      <c r="Q1" s="6"/>
      <c r="R1" s="6"/>
      <c r="S1" s="6"/>
      <c r="T1" s="6"/>
    </row>
    <row r="2">
      <c r="A2" s="14" t="s">
        <v>4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</row>
    <row r="4">
      <c r="A4" s="26"/>
      <c r="B4" s="27"/>
      <c r="C4" s="28"/>
      <c r="D4" s="30">
        <v>19.78</v>
      </c>
      <c r="E4" s="30">
        <v>18.18</v>
      </c>
      <c r="F4" s="30">
        <v>21.98</v>
      </c>
      <c r="G4" s="35">
        <f>SUM(D4,E4,F4)</f>
        <v>59.94</v>
      </c>
      <c r="H4" s="38">
        <f>AVERAGE(D4,E4,F4)</f>
        <v>19.98</v>
      </c>
      <c r="I4" s="24"/>
      <c r="J4" s="39">
        <v>0.6</v>
      </c>
      <c r="K4" s="40" t="s">
        <v>15</v>
      </c>
      <c r="L4" s="42">
        <f>H4*J4</f>
        <v>11.988</v>
      </c>
      <c r="M4" s="6"/>
      <c r="N4" s="6"/>
      <c r="O4" s="6"/>
      <c r="P4" s="6"/>
      <c r="Q4" s="6"/>
      <c r="R4" s="6"/>
      <c r="S4" s="6"/>
      <c r="T4" s="6"/>
    </row>
    <row r="5">
      <c r="A5" s="15">
        <f>A3+1</f>
        <v>2</v>
      </c>
      <c r="B5" s="17" t="s">
        <v>16</v>
      </c>
      <c r="C5" s="19"/>
      <c r="D5" s="21" t="s">
        <v>6</v>
      </c>
      <c r="E5" s="44" t="s">
        <v>19</v>
      </c>
      <c r="F5" s="44" t="s">
        <v>20</v>
      </c>
      <c r="G5" s="23"/>
      <c r="H5" s="23"/>
      <c r="I5" s="24"/>
      <c r="J5" s="45"/>
      <c r="K5" s="47"/>
      <c r="L5" s="48"/>
      <c r="M5" s="6"/>
      <c r="N5" s="6"/>
      <c r="O5" s="6"/>
      <c r="P5" s="6"/>
      <c r="Q5" s="6"/>
      <c r="R5" s="6"/>
      <c r="S5" s="6"/>
      <c r="T5" s="6"/>
    </row>
    <row r="6">
      <c r="A6" s="26"/>
      <c r="B6" s="27"/>
      <c r="C6" s="28"/>
      <c r="D6" s="30">
        <v>10.18</v>
      </c>
      <c r="E6" s="30">
        <v>11.58</v>
      </c>
      <c r="F6" s="30">
        <v>10.28</v>
      </c>
      <c r="G6" s="35">
        <f>SUM(D6,E6,F6)</f>
        <v>32.04</v>
      </c>
      <c r="H6" s="38">
        <f>AVERAGE(D6,E6,F6)</f>
        <v>10.68</v>
      </c>
      <c r="I6" s="24"/>
      <c r="J6" s="39">
        <v>4.0</v>
      </c>
      <c r="K6" s="40"/>
      <c r="L6" s="42">
        <f>H6*J6</f>
        <v>42.72</v>
      </c>
      <c r="M6" s="6"/>
      <c r="N6" s="6"/>
      <c r="O6" s="6"/>
      <c r="P6" s="6"/>
      <c r="Q6" s="6"/>
      <c r="R6" s="6"/>
      <c r="S6" s="6"/>
      <c r="T6" s="6"/>
    </row>
    <row r="7">
      <c r="A7" s="15">
        <f>A5+1</f>
        <v>3</v>
      </c>
      <c r="B7" s="17" t="s">
        <v>23</v>
      </c>
      <c r="C7" s="19"/>
      <c r="D7" s="44" t="s">
        <v>14</v>
      </c>
      <c r="E7" s="44" t="s">
        <v>27</v>
      </c>
      <c r="F7" s="21" t="s">
        <v>26</v>
      </c>
      <c r="G7" s="23"/>
      <c r="H7" s="23"/>
      <c r="I7" s="24"/>
      <c r="J7" s="45"/>
      <c r="K7" s="47"/>
      <c r="L7" s="48"/>
      <c r="M7" s="6"/>
      <c r="N7" s="6"/>
      <c r="O7" s="6"/>
      <c r="P7" s="6"/>
      <c r="Q7" s="6"/>
      <c r="R7" s="6"/>
      <c r="S7" s="6"/>
      <c r="T7" s="6"/>
    </row>
    <row r="8">
      <c r="A8" s="26"/>
      <c r="B8" s="27"/>
      <c r="C8" s="28"/>
      <c r="D8" s="30">
        <v>15.98</v>
      </c>
      <c r="E8" s="30">
        <v>14.98</v>
      </c>
      <c r="F8" s="30">
        <v>15.48</v>
      </c>
      <c r="G8" s="35">
        <f>SUM(D8,E8,F8)</f>
        <v>46.44</v>
      </c>
      <c r="H8" s="38">
        <f>AVERAGE(D8,E8,F8)</f>
        <v>15.48</v>
      </c>
      <c r="I8" s="24"/>
      <c r="J8" s="39">
        <v>0.6</v>
      </c>
      <c r="K8" s="40"/>
      <c r="L8" s="42">
        <f>H8*J8</f>
        <v>9.288</v>
      </c>
      <c r="M8" s="6"/>
      <c r="N8" s="6"/>
      <c r="O8" s="6"/>
      <c r="P8" s="6"/>
      <c r="Q8" s="6"/>
      <c r="R8" s="6"/>
      <c r="S8" s="6"/>
      <c r="T8" s="6"/>
    </row>
    <row r="9">
      <c r="A9" s="15">
        <f>A7+1</f>
        <v>4</v>
      </c>
      <c r="B9" s="17" t="s">
        <v>28</v>
      </c>
      <c r="C9" s="19"/>
      <c r="D9" s="21" t="s">
        <v>29</v>
      </c>
      <c r="E9" s="21" t="s">
        <v>30</v>
      </c>
      <c r="F9" s="21" t="s">
        <v>31</v>
      </c>
      <c r="G9" s="23"/>
      <c r="H9" s="23"/>
      <c r="I9" s="24"/>
      <c r="J9" s="45"/>
      <c r="K9" s="47"/>
      <c r="L9" s="48"/>
      <c r="M9" s="6"/>
      <c r="N9" s="6"/>
      <c r="O9" s="6"/>
      <c r="P9" s="6"/>
      <c r="Q9" s="6"/>
      <c r="R9" s="6"/>
      <c r="S9" s="6"/>
      <c r="T9" s="6"/>
    </row>
    <row r="10">
      <c r="A10" s="26"/>
      <c r="B10" s="27"/>
      <c r="C10" s="28"/>
      <c r="D10" s="30">
        <v>31.18</v>
      </c>
      <c r="E10" s="30">
        <v>24.98</v>
      </c>
      <c r="F10" s="30">
        <v>23.76</v>
      </c>
      <c r="G10" s="35">
        <f>SUM(D10,E10,F10)</f>
        <v>79.92</v>
      </c>
      <c r="H10" s="38">
        <f>AVERAGE(D10,E10,F10)</f>
        <v>26.64</v>
      </c>
      <c r="I10" s="24"/>
      <c r="J10" s="39">
        <v>1.2</v>
      </c>
      <c r="K10" s="40"/>
      <c r="L10" s="42">
        <f>H10*J10</f>
        <v>31.968</v>
      </c>
      <c r="M10" s="6"/>
      <c r="N10" s="6"/>
      <c r="O10" s="6"/>
      <c r="P10" s="6"/>
      <c r="Q10" s="6"/>
      <c r="R10" s="6"/>
      <c r="S10" s="6"/>
      <c r="T10" s="6"/>
    </row>
    <row r="11">
      <c r="A11" s="15">
        <f>A9+1</f>
        <v>5</v>
      </c>
      <c r="B11" s="17" t="s">
        <v>34</v>
      </c>
      <c r="C11" s="19"/>
      <c r="D11" s="44" t="s">
        <v>42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  <c r="O11" s="6"/>
      <c r="P11" s="6"/>
      <c r="Q11" s="6"/>
      <c r="R11" s="6"/>
      <c r="S11" s="6"/>
      <c r="T11" s="6"/>
    </row>
    <row r="12">
      <c r="A12" s="26"/>
      <c r="B12" s="27"/>
      <c r="C12" s="28"/>
      <c r="D12" s="30">
        <v>4.58</v>
      </c>
      <c r="E12" s="30">
        <v>6.18</v>
      </c>
      <c r="F12" s="30">
        <v>4.99</v>
      </c>
      <c r="G12" s="35">
        <f>SUM(D12,E12,F12)</f>
        <v>15.75</v>
      </c>
      <c r="H12" s="38">
        <f>AVERAGE(D12,E12,F12)</f>
        <v>5.25</v>
      </c>
      <c r="I12" s="24"/>
      <c r="J12" s="39">
        <v>0.0</v>
      </c>
      <c r="K12" s="40"/>
      <c r="L12" s="42">
        <f>H12*J12</f>
        <v>0</v>
      </c>
      <c r="M12" s="6"/>
      <c r="N12" s="6"/>
      <c r="O12" s="6"/>
      <c r="P12" s="6"/>
      <c r="Q12" s="6"/>
      <c r="R12" s="6"/>
      <c r="S12" s="6"/>
      <c r="T12" s="6"/>
    </row>
    <row r="13">
      <c r="A13" s="15">
        <f>A11+1</f>
        <v>6</v>
      </c>
      <c r="B13" s="17" t="s">
        <v>38</v>
      </c>
      <c r="C13" s="19"/>
      <c r="D13" s="44" t="s">
        <v>47</v>
      </c>
      <c r="E13" s="44" t="s">
        <v>48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  <c r="O13" s="6"/>
      <c r="P13" s="6"/>
      <c r="Q13" s="6"/>
      <c r="R13" s="6"/>
      <c r="S13" s="6"/>
      <c r="T13" s="6"/>
    </row>
    <row r="14">
      <c r="A14" s="26"/>
      <c r="B14" s="27"/>
      <c r="C14" s="28"/>
      <c r="D14" s="30">
        <v>6.28</v>
      </c>
      <c r="E14" s="30">
        <v>4.89</v>
      </c>
      <c r="F14" s="30">
        <v>5.59</v>
      </c>
      <c r="G14" s="35">
        <f>SUM(D14,E14,F14)</f>
        <v>16.76</v>
      </c>
      <c r="H14" s="38">
        <f>AVERAGE(D14,E14,F14)</f>
        <v>5.586666667</v>
      </c>
      <c r="I14" s="24"/>
      <c r="J14" s="39">
        <v>1.0</v>
      </c>
      <c r="K14" s="40"/>
      <c r="L14" s="42">
        <f>H14*J14</f>
        <v>5.586666667</v>
      </c>
      <c r="M14" s="6"/>
      <c r="N14" s="6"/>
      <c r="O14" s="6"/>
      <c r="P14" s="6"/>
      <c r="Q14" s="6"/>
      <c r="R14" s="6"/>
      <c r="S14" s="6"/>
      <c r="T14" s="6"/>
    </row>
    <row r="15">
      <c r="A15" s="15">
        <f>A13+1</f>
        <v>7</v>
      </c>
      <c r="B15" s="17" t="s">
        <v>43</v>
      </c>
      <c r="C15" s="19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  <c r="O15" s="6"/>
      <c r="P15" s="6"/>
      <c r="Q15" s="6"/>
      <c r="R15" s="6"/>
      <c r="S15" s="6"/>
      <c r="T15" s="6"/>
    </row>
    <row r="16">
      <c r="A16" s="26"/>
      <c r="B16" s="27"/>
      <c r="C16" s="28"/>
      <c r="D16" s="30">
        <v>8.98</v>
      </c>
      <c r="E16" s="62"/>
      <c r="F16" s="62"/>
      <c r="G16" s="35">
        <f>SUM(D16,E16,F16)</f>
        <v>8.98</v>
      </c>
      <c r="H16" s="38">
        <f>AVERAGE(D16,E16,F16)</f>
        <v>8.98</v>
      </c>
      <c r="I16" s="24"/>
      <c r="J16" s="39">
        <v>6.0</v>
      </c>
      <c r="K16" s="40"/>
      <c r="L16" s="42">
        <f>H16*J16</f>
        <v>53.88</v>
      </c>
      <c r="M16" s="6"/>
      <c r="N16" s="6"/>
      <c r="O16" s="6"/>
      <c r="P16" s="6"/>
      <c r="Q16" s="6"/>
      <c r="R16" s="6"/>
      <c r="S16" s="6"/>
      <c r="T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  <c r="O17" s="6"/>
      <c r="P17" s="6"/>
      <c r="Q17" s="6"/>
      <c r="R17" s="6"/>
      <c r="S17" s="6"/>
      <c r="T17" s="6"/>
    </row>
    <row r="18">
      <c r="A18" s="26"/>
      <c r="B18" s="27"/>
      <c r="C18" s="28"/>
      <c r="D18" s="30">
        <v>5.98</v>
      </c>
      <c r="E18" s="62"/>
      <c r="F18" s="62"/>
      <c r="G18" s="35">
        <f>SUM(D18,E18,F18)</f>
        <v>5.98</v>
      </c>
      <c r="H18" s="38">
        <f>AVERAGE(D18,E18,F18)</f>
        <v>5.98</v>
      </c>
      <c r="I18" s="24"/>
      <c r="J18" s="39">
        <v>0.0</v>
      </c>
      <c r="K18" s="40"/>
      <c r="L18" s="42">
        <f>H18*J18</f>
        <v>0</v>
      </c>
      <c r="M18" s="6"/>
      <c r="N18" s="6"/>
      <c r="O18" s="6"/>
      <c r="P18" s="6"/>
      <c r="Q18" s="6"/>
      <c r="R18" s="6"/>
      <c r="S18" s="6"/>
      <c r="T18" s="6"/>
    </row>
    <row r="19">
      <c r="A19" s="15">
        <f>A17+1</f>
        <v>9</v>
      </c>
      <c r="B19" s="17" t="s">
        <v>51</v>
      </c>
      <c r="C19" s="19"/>
      <c r="D19" s="44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  <c r="O19" s="6"/>
      <c r="P19" s="6"/>
      <c r="Q19" s="6"/>
      <c r="R19" s="6"/>
      <c r="S19" s="6"/>
      <c r="T19" s="6"/>
    </row>
    <row r="20">
      <c r="A20" s="26"/>
      <c r="B20" s="27"/>
      <c r="C20" s="28"/>
      <c r="D20" s="30">
        <v>7.98</v>
      </c>
      <c r="E20" s="62"/>
      <c r="F20" s="62"/>
      <c r="G20" s="35">
        <f>SUM(D20,E20,F20)</f>
        <v>7.98</v>
      </c>
      <c r="H20" s="38">
        <f>AVERAGE(D20,E20,F20)</f>
        <v>7.98</v>
      </c>
      <c r="I20" s="24"/>
      <c r="J20" s="39">
        <v>9.0</v>
      </c>
      <c r="K20" s="40"/>
      <c r="L20" s="42">
        <f>H20*J20</f>
        <v>71.82</v>
      </c>
      <c r="M20" s="6"/>
      <c r="N20" s="6"/>
      <c r="O20" s="6"/>
      <c r="P20" s="6"/>
      <c r="Q20" s="6"/>
      <c r="R20" s="6"/>
      <c r="S20" s="6"/>
      <c r="T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  <c r="O21" s="6"/>
      <c r="P21" s="6"/>
      <c r="Q21" s="6"/>
      <c r="R21" s="6"/>
      <c r="S21" s="6"/>
      <c r="T21" s="6"/>
    </row>
    <row r="22">
      <c r="A22" s="26"/>
      <c r="B22" s="27"/>
      <c r="C22" s="28"/>
      <c r="D22" s="30">
        <v>18.99</v>
      </c>
      <c r="E22" s="62"/>
      <c r="F22" s="62"/>
      <c r="G22" s="35">
        <f>SUM(D22,E22,F22)</f>
        <v>18.99</v>
      </c>
      <c r="H22" s="38">
        <f>AVERAGE(D22,E22,F22)</f>
        <v>18.99</v>
      </c>
      <c r="I22" s="24"/>
      <c r="J22" s="39">
        <v>0.0</v>
      </c>
      <c r="K22" s="40"/>
      <c r="L22" s="42">
        <f>H22*J22</f>
        <v>0</v>
      </c>
      <c r="M22" s="6"/>
      <c r="N22" s="6"/>
      <c r="O22" s="6"/>
      <c r="P22" s="6"/>
      <c r="Q22" s="6"/>
      <c r="R22" s="6"/>
      <c r="S22" s="6"/>
      <c r="T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  <c r="O23" s="6"/>
      <c r="P23" s="6"/>
      <c r="Q23" s="6"/>
      <c r="R23" s="6"/>
      <c r="S23" s="6"/>
      <c r="T23" s="6"/>
    </row>
    <row r="24">
      <c r="A24" s="26"/>
      <c r="B24" s="27"/>
      <c r="C24" s="28"/>
      <c r="D24" s="30">
        <v>9.48</v>
      </c>
      <c r="E24" s="30">
        <v>9.58</v>
      </c>
      <c r="F24" s="62"/>
      <c r="G24" s="35">
        <f>SUM(D24,E24,F24)</f>
        <v>19.06</v>
      </c>
      <c r="H24" s="38">
        <f>AVERAGE(D24,E24,F24)</f>
        <v>9.53</v>
      </c>
      <c r="I24" s="24"/>
      <c r="J24" s="39">
        <v>0.0</v>
      </c>
      <c r="K24" s="40"/>
      <c r="L24" s="42">
        <f>H24*J24</f>
        <v>0</v>
      </c>
      <c r="M24" s="6"/>
      <c r="N24" s="6"/>
      <c r="O24" s="6"/>
      <c r="P24" s="6"/>
      <c r="Q24" s="6"/>
      <c r="R24" s="6"/>
      <c r="S24" s="6"/>
      <c r="T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  <c r="O25" s="6"/>
      <c r="P25" s="6"/>
      <c r="Q25" s="6"/>
      <c r="R25" s="6"/>
      <c r="S25" s="6"/>
      <c r="T25" s="6"/>
    </row>
    <row r="26">
      <c r="A26" s="26"/>
      <c r="B26" s="27"/>
      <c r="C26" s="28"/>
      <c r="D26" s="30">
        <v>6.18</v>
      </c>
      <c r="E26" s="30">
        <v>4.88</v>
      </c>
      <c r="F26" s="30">
        <v>4.98</v>
      </c>
      <c r="G26" s="35">
        <f>SUM(D26,E26,F26)</f>
        <v>16.04</v>
      </c>
      <c r="H26" s="38">
        <f>AVERAGE(D26,E26,F26)</f>
        <v>5.346666667</v>
      </c>
      <c r="I26" s="24"/>
      <c r="J26" s="39">
        <v>3.0</v>
      </c>
      <c r="K26" s="40"/>
      <c r="L26" s="42">
        <f>H26*J26</f>
        <v>16.04</v>
      </c>
      <c r="M26" s="6"/>
      <c r="N26" s="6"/>
      <c r="O26" s="6"/>
      <c r="P26" s="6"/>
      <c r="Q26" s="6"/>
      <c r="R26" s="6"/>
      <c r="S26" s="6"/>
      <c r="T26" s="6"/>
    </row>
    <row r="27">
      <c r="A27" s="15">
        <f>A25+1</f>
        <v>13</v>
      </c>
      <c r="B27" s="17" t="s">
        <v>64</v>
      </c>
      <c r="C27" s="19"/>
      <c r="D27" s="44" t="s">
        <v>74</v>
      </c>
      <c r="E27" s="44" t="s">
        <v>76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  <c r="O27" s="6"/>
      <c r="P27" s="6"/>
      <c r="Q27" s="6"/>
      <c r="R27" s="6"/>
      <c r="S27" s="6"/>
      <c r="T27" s="6"/>
    </row>
    <row r="28">
      <c r="A28" s="26"/>
      <c r="B28" s="27"/>
      <c r="C28" s="28"/>
      <c r="D28" s="30">
        <v>7.18</v>
      </c>
      <c r="E28" s="30">
        <v>2.79</v>
      </c>
      <c r="F28" s="30">
        <v>4.98</v>
      </c>
      <c r="G28" s="35">
        <f>SUM(D28,E28,F28)</f>
        <v>14.95</v>
      </c>
      <c r="H28" s="38">
        <f>AVERAGE(D28,E28,F28)</f>
        <v>4.983333333</v>
      </c>
      <c r="I28" s="24"/>
      <c r="J28" s="39">
        <v>0.0</v>
      </c>
      <c r="K28" s="40"/>
      <c r="L28" s="42">
        <f>H28*J28</f>
        <v>0</v>
      </c>
      <c r="M28" s="6"/>
      <c r="N28" s="6"/>
      <c r="O28" s="6"/>
      <c r="P28" s="6"/>
      <c r="Q28" s="6"/>
      <c r="R28" s="6"/>
      <c r="S28" s="6"/>
      <c r="T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  <c r="O29" s="6"/>
      <c r="P29" s="6"/>
      <c r="Q29" s="6"/>
      <c r="R29" s="6"/>
      <c r="S29" s="6"/>
      <c r="T29" s="6"/>
    </row>
    <row r="30">
      <c r="A30" s="26"/>
      <c r="B30" s="27"/>
      <c r="C30" s="28"/>
      <c r="D30" s="30">
        <v>17.98</v>
      </c>
      <c r="E30" s="62"/>
      <c r="F30" s="62"/>
      <c r="G30" s="35">
        <f>SUM(D30,E30,F30)</f>
        <v>17.98</v>
      </c>
      <c r="H30" s="38">
        <f>AVERAGE(D30,E30,F30)</f>
        <v>17.98</v>
      </c>
      <c r="I30" s="24"/>
      <c r="J30" s="39">
        <v>6.0</v>
      </c>
      <c r="K30" s="40"/>
      <c r="L30" s="42">
        <f>H30*J30</f>
        <v>107.88</v>
      </c>
      <c r="M30" s="6"/>
      <c r="N30" s="6"/>
      <c r="O30" s="6"/>
      <c r="P30" s="6"/>
      <c r="Q30" s="6"/>
      <c r="R30" s="6"/>
      <c r="S30" s="6"/>
      <c r="T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  <c r="O31" s="6"/>
      <c r="P31" s="6"/>
      <c r="Q31" s="6"/>
      <c r="R31" s="6"/>
      <c r="S31" s="6"/>
      <c r="T31" s="6"/>
    </row>
    <row r="32">
      <c r="A32" s="26"/>
      <c r="B32" s="27"/>
      <c r="C32" s="28"/>
      <c r="D32" s="30">
        <v>7.98</v>
      </c>
      <c r="E32" s="30">
        <v>3.98</v>
      </c>
      <c r="F32" s="62"/>
      <c r="G32" s="35">
        <f>SUM(D32,E32,F32)</f>
        <v>11.96</v>
      </c>
      <c r="H32" s="38">
        <f>AVERAGE(D32,E32,F32)</f>
        <v>5.98</v>
      </c>
      <c r="I32" s="24"/>
      <c r="J32" s="39">
        <v>7.5</v>
      </c>
      <c r="K32" s="40"/>
      <c r="L32" s="42">
        <f>H32*J32</f>
        <v>44.85</v>
      </c>
      <c r="M32" s="6"/>
      <c r="N32" s="6"/>
      <c r="O32" s="6"/>
      <c r="P32" s="6"/>
      <c r="Q32" s="6"/>
      <c r="R32" s="6"/>
      <c r="S32" s="6"/>
      <c r="T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21" t="s">
        <v>87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  <c r="O33" s="6"/>
      <c r="P33" s="6"/>
      <c r="Q33" s="6"/>
      <c r="R33" s="6"/>
      <c r="S33" s="6"/>
      <c r="T33" s="6"/>
    </row>
    <row r="34">
      <c r="A34" s="26"/>
      <c r="B34" s="27"/>
      <c r="C34" s="28"/>
      <c r="D34" s="30">
        <v>7.69</v>
      </c>
      <c r="E34" s="30">
        <v>7.69</v>
      </c>
      <c r="F34" s="30">
        <v>7.69</v>
      </c>
      <c r="G34" s="35">
        <f>SUM(D34,E34,F34)</f>
        <v>23.07</v>
      </c>
      <c r="H34" s="38">
        <f>AVERAGE(D34,E34,F34)</f>
        <v>7.69</v>
      </c>
      <c r="I34" s="24"/>
      <c r="J34" s="39">
        <v>0.83</v>
      </c>
      <c r="K34" s="40"/>
      <c r="L34" s="42">
        <f>H34*J34</f>
        <v>6.3827</v>
      </c>
      <c r="M34" s="6"/>
      <c r="N34" s="6"/>
      <c r="O34" s="6"/>
      <c r="P34" s="6"/>
      <c r="Q34" s="6"/>
      <c r="R34" s="6"/>
      <c r="S34" s="6"/>
      <c r="T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21" t="s">
        <v>81</v>
      </c>
      <c r="F35" s="44" t="s">
        <v>93</v>
      </c>
      <c r="G35" s="23"/>
      <c r="H35" s="23"/>
      <c r="I35" s="24"/>
      <c r="J35" s="45"/>
      <c r="K35" s="47"/>
      <c r="L35" s="48"/>
      <c r="M35" s="6"/>
      <c r="N35" s="6"/>
      <c r="O35" s="6"/>
      <c r="P35" s="6"/>
      <c r="Q35" s="6"/>
      <c r="R35" s="6"/>
      <c r="S35" s="6"/>
      <c r="T35" s="6"/>
    </row>
    <row r="36">
      <c r="A36" s="26"/>
      <c r="B36" s="27"/>
      <c r="C36" s="28"/>
      <c r="D36" s="30">
        <v>6.03</v>
      </c>
      <c r="E36" s="30">
        <v>6.48</v>
      </c>
      <c r="F36" s="30">
        <v>5.58</v>
      </c>
      <c r="G36" s="35">
        <f>SUM(D36,E36,F36)</f>
        <v>18.09</v>
      </c>
      <c r="H36" s="38">
        <f>AVERAGE(D36,E36,F36)</f>
        <v>6.03</v>
      </c>
      <c r="I36" s="24"/>
      <c r="J36" s="39">
        <v>7.5</v>
      </c>
      <c r="K36" s="40"/>
      <c r="L36" s="42">
        <f>H36*J36</f>
        <v>45.225</v>
      </c>
      <c r="M36" s="6"/>
      <c r="N36" s="6"/>
      <c r="O36" s="6"/>
      <c r="P36" s="6"/>
      <c r="Q36" s="6"/>
      <c r="R36" s="6"/>
      <c r="S36" s="6"/>
      <c r="T36" s="6"/>
    </row>
    <row r="37">
      <c r="A37" s="15">
        <f>A35+1</f>
        <v>18</v>
      </c>
      <c r="B37" s="17" t="s">
        <v>83</v>
      </c>
      <c r="C37" s="19"/>
      <c r="D37" s="21" t="s">
        <v>80</v>
      </c>
      <c r="E37" s="44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  <c r="O37" s="6"/>
      <c r="P37" s="6"/>
      <c r="Q37" s="6"/>
      <c r="R37" s="6"/>
      <c r="S37" s="6"/>
      <c r="T37" s="6"/>
    </row>
    <row r="38">
      <c r="A38" s="26"/>
      <c r="B38" s="27"/>
      <c r="C38" s="28"/>
      <c r="D38" s="30">
        <v>19.28</v>
      </c>
      <c r="E38" s="30">
        <v>17.48</v>
      </c>
      <c r="F38" s="30">
        <v>19.58</v>
      </c>
      <c r="G38" s="35">
        <f>SUM(D38,E38,F38)</f>
        <v>56.34</v>
      </c>
      <c r="H38" s="38">
        <f>AVERAGE(D38,E38,F38)</f>
        <v>18.78</v>
      </c>
      <c r="I38" s="24"/>
      <c r="J38" s="39">
        <v>0.0</v>
      </c>
      <c r="K38" s="40"/>
      <c r="L38" s="42">
        <f>H38*J38</f>
        <v>0</v>
      </c>
      <c r="M38" s="6"/>
      <c r="N38" s="6"/>
      <c r="O38" s="6"/>
      <c r="P38" s="6"/>
      <c r="Q38" s="6"/>
      <c r="R38" s="6"/>
      <c r="S38" s="6"/>
      <c r="T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21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  <c r="O39" s="6"/>
      <c r="P39" s="6"/>
      <c r="Q39" s="6"/>
      <c r="R39" s="6"/>
      <c r="S39" s="6"/>
      <c r="T39" s="6"/>
    </row>
    <row r="40">
      <c r="A40" s="26"/>
      <c r="B40" s="27"/>
      <c r="C40" s="28"/>
      <c r="D40" s="30">
        <v>4.59</v>
      </c>
      <c r="E40" s="30">
        <v>3.69</v>
      </c>
      <c r="F40" s="30">
        <v>4.68</v>
      </c>
      <c r="G40" s="35">
        <f>SUM(D40,E40,F40)</f>
        <v>12.96</v>
      </c>
      <c r="H40" s="38">
        <f>AVERAGE(D40,E40,F40)</f>
        <v>4.32</v>
      </c>
      <c r="I40" s="24"/>
      <c r="J40" s="39">
        <v>0.0</v>
      </c>
      <c r="K40" s="40"/>
      <c r="L40" s="42">
        <f>H40*J40</f>
        <v>0</v>
      </c>
      <c r="M40" s="6"/>
      <c r="N40" s="6"/>
      <c r="O40" s="6"/>
      <c r="P40" s="6"/>
      <c r="Q40" s="6"/>
      <c r="R40" s="6"/>
      <c r="S40" s="6"/>
      <c r="T40" s="6"/>
    </row>
    <row r="41">
      <c r="A41" s="15">
        <f>A39+1</f>
        <v>20</v>
      </c>
      <c r="B41" s="17" t="s">
        <v>88</v>
      </c>
      <c r="C41" s="19"/>
      <c r="D41" s="44" t="s">
        <v>107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  <c r="O41" s="6"/>
      <c r="P41" s="6"/>
      <c r="Q41" s="6"/>
      <c r="R41" s="6"/>
      <c r="S41" s="6"/>
      <c r="T41" s="6"/>
    </row>
    <row r="42">
      <c r="A42" s="26"/>
      <c r="B42" s="27"/>
      <c r="C42" s="28"/>
      <c r="D42" s="30">
        <v>2.19</v>
      </c>
      <c r="E42" s="30">
        <v>2.89</v>
      </c>
      <c r="F42" s="30">
        <v>2.58</v>
      </c>
      <c r="G42" s="35">
        <f>SUM(D42,E42,F42)</f>
        <v>7.66</v>
      </c>
      <c r="H42" s="38">
        <f>AVERAGE(D42,E42,F42)</f>
        <v>2.553333333</v>
      </c>
      <c r="I42" s="24"/>
      <c r="J42" s="39">
        <v>0.0</v>
      </c>
      <c r="K42" s="40"/>
      <c r="L42" s="42">
        <f>H42*J42</f>
        <v>0</v>
      </c>
      <c r="M42" s="6"/>
      <c r="N42" s="6"/>
      <c r="O42" s="6"/>
      <c r="P42" s="6"/>
      <c r="Q42" s="6"/>
      <c r="R42" s="6"/>
      <c r="S42" s="6"/>
      <c r="T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  <c r="O43" s="6"/>
      <c r="P43" s="6"/>
      <c r="Q43" s="6"/>
      <c r="R43" s="6"/>
      <c r="S43" s="6"/>
      <c r="T43" s="6"/>
    </row>
    <row r="44">
      <c r="A44" s="26"/>
      <c r="B44" s="27"/>
      <c r="C44" s="28"/>
      <c r="D44" s="30">
        <v>49.98</v>
      </c>
      <c r="E44" s="30">
        <v>52.98</v>
      </c>
      <c r="F44" s="30">
        <v>49.98</v>
      </c>
      <c r="G44" s="35">
        <f>SUM(D44,E44,F44)</f>
        <v>152.94</v>
      </c>
      <c r="H44" s="38">
        <f>AVERAGE(D44,E44,F44)</f>
        <v>50.98</v>
      </c>
      <c r="I44" s="24"/>
      <c r="J44" s="39">
        <v>3.0</v>
      </c>
      <c r="K44" s="40"/>
      <c r="L44" s="42">
        <f>H44*J44</f>
        <v>152.94</v>
      </c>
      <c r="M44" s="6"/>
      <c r="N44" s="6"/>
      <c r="O44" s="6"/>
      <c r="P44" s="6"/>
      <c r="Q44" s="6"/>
      <c r="R44" s="6"/>
      <c r="S44" s="6"/>
      <c r="T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  <c r="O45" s="6"/>
      <c r="P45" s="6"/>
      <c r="Q45" s="6"/>
      <c r="R45" s="6"/>
      <c r="S45" s="6"/>
      <c r="T45" s="6"/>
    </row>
    <row r="46">
      <c r="A46" s="26"/>
      <c r="B46" s="27"/>
      <c r="C46" s="28"/>
      <c r="D46" s="30">
        <v>33.98</v>
      </c>
      <c r="E46" s="30">
        <v>24.98</v>
      </c>
      <c r="F46" s="30">
        <v>45.98</v>
      </c>
      <c r="G46" s="35">
        <f>SUM(D46,E46,F46)</f>
        <v>104.94</v>
      </c>
      <c r="H46" s="38">
        <f>AVERAGE(D46,E46,F46)</f>
        <v>34.98</v>
      </c>
      <c r="I46" s="24"/>
      <c r="J46" s="39">
        <v>3.0</v>
      </c>
      <c r="K46" s="40"/>
      <c r="L46" s="42">
        <f>H46*J46</f>
        <v>104.94</v>
      </c>
      <c r="M46" s="6"/>
      <c r="N46" s="6"/>
      <c r="O46" s="6"/>
      <c r="P46" s="6"/>
      <c r="Q46" s="6"/>
      <c r="R46" s="6"/>
      <c r="S46" s="6"/>
      <c r="T46" s="6"/>
    </row>
    <row r="47">
      <c r="A47" s="15">
        <f>A45+1</f>
        <v>23</v>
      </c>
      <c r="B47" s="17" t="s">
        <v>104</v>
      </c>
      <c r="C47" s="19"/>
      <c r="D47" s="44" t="s">
        <v>116</v>
      </c>
      <c r="E47" s="21" t="s">
        <v>106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  <c r="O47" s="6"/>
      <c r="P47" s="6"/>
      <c r="Q47" s="6"/>
      <c r="R47" s="6"/>
      <c r="S47" s="6"/>
      <c r="T47" s="6"/>
    </row>
    <row r="48">
      <c r="A48" s="26"/>
      <c r="B48" s="27"/>
      <c r="C48" s="28"/>
      <c r="D48" s="30">
        <v>11.58</v>
      </c>
      <c r="E48" s="30">
        <v>11.48</v>
      </c>
      <c r="F48" s="62"/>
      <c r="G48" s="35">
        <f>SUM(D48,E48,F48)</f>
        <v>23.06</v>
      </c>
      <c r="H48" s="38">
        <f>AVERAGE(D48,E48,F48)</f>
        <v>11.53</v>
      </c>
      <c r="I48" s="24"/>
      <c r="J48" s="39">
        <v>0.0</v>
      </c>
      <c r="K48" s="40"/>
      <c r="L48" s="42">
        <f>H48*J48</f>
        <v>0</v>
      </c>
      <c r="M48" s="6"/>
      <c r="N48" s="6"/>
      <c r="O48" s="6"/>
      <c r="P48" s="6"/>
      <c r="Q48" s="6"/>
      <c r="R48" s="6"/>
      <c r="S48" s="6"/>
      <c r="T48" s="6"/>
    </row>
    <row r="49">
      <c r="A49" s="15">
        <f>A47+1</f>
        <v>24</v>
      </c>
      <c r="B49" s="17" t="s">
        <v>108</v>
      </c>
      <c r="C49" s="19"/>
      <c r="D49" s="44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  <c r="O49" s="6"/>
      <c r="P49" s="6"/>
      <c r="Q49" s="6"/>
      <c r="R49" s="6"/>
      <c r="S49" s="6"/>
      <c r="T49" s="6"/>
    </row>
    <row r="50">
      <c r="A50" s="26"/>
      <c r="B50" s="27"/>
      <c r="C50" s="28"/>
      <c r="D50" s="30">
        <v>6.98</v>
      </c>
      <c r="E50" s="30">
        <v>13.7</v>
      </c>
      <c r="F50" s="30">
        <v>8.98</v>
      </c>
      <c r="G50" s="35">
        <f>SUM(D50,E50,F50)</f>
        <v>29.66</v>
      </c>
      <c r="H50" s="38">
        <f>AVERAGE(D50,E50,F50)</f>
        <v>9.886666667</v>
      </c>
      <c r="I50" s="24"/>
      <c r="J50" s="39">
        <v>0.0</v>
      </c>
      <c r="K50" s="40"/>
      <c r="L50" s="42">
        <f>H50*J50</f>
        <v>0</v>
      </c>
      <c r="M50" s="6"/>
      <c r="N50" s="6"/>
      <c r="O50" s="6"/>
      <c r="P50" s="6"/>
      <c r="Q50" s="6"/>
      <c r="R50" s="6"/>
      <c r="S50" s="6"/>
      <c r="T50" s="6"/>
    </row>
    <row r="51">
      <c r="A51" s="15">
        <f>A49+1</f>
        <v>25</v>
      </c>
      <c r="B51" s="17" t="s">
        <v>110</v>
      </c>
      <c r="C51" s="19"/>
      <c r="D51" s="21" t="s">
        <v>126</v>
      </c>
      <c r="E51" s="21" t="s">
        <v>106</v>
      </c>
      <c r="F51" s="21" t="s">
        <v>111</v>
      </c>
      <c r="G51" s="23"/>
      <c r="H51" s="23"/>
      <c r="I51" s="24"/>
      <c r="J51" s="45"/>
      <c r="K51" s="47"/>
      <c r="L51" s="48"/>
      <c r="M51" s="6"/>
      <c r="N51" s="6"/>
      <c r="O51" s="6"/>
      <c r="P51" s="6"/>
      <c r="Q51" s="6"/>
      <c r="R51" s="6"/>
      <c r="S51" s="6"/>
      <c r="T51" s="6"/>
    </row>
    <row r="52">
      <c r="A52" s="26"/>
      <c r="B52" s="27"/>
      <c r="C52" s="28"/>
      <c r="D52" s="30">
        <v>22.28</v>
      </c>
      <c r="E52" s="30">
        <v>22.28</v>
      </c>
      <c r="F52" s="30">
        <v>22.28</v>
      </c>
      <c r="G52" s="35">
        <f>SUM(D52,E52,F52)</f>
        <v>66.84</v>
      </c>
      <c r="H52" s="38">
        <f>AVERAGE(D52,E52,F52)</f>
        <v>22.28</v>
      </c>
      <c r="I52" s="24"/>
      <c r="J52" s="39">
        <v>0.0</v>
      </c>
      <c r="K52" s="40"/>
      <c r="L52" s="42">
        <f>H52*J52</f>
        <v>0</v>
      </c>
      <c r="M52" s="6"/>
      <c r="N52" s="6"/>
      <c r="O52" s="6"/>
      <c r="P52" s="6"/>
      <c r="Q52" s="6"/>
      <c r="R52" s="6"/>
      <c r="S52" s="6"/>
      <c r="T52" s="6"/>
    </row>
    <row r="53">
      <c r="A53" s="15">
        <f>A51+1</f>
        <v>26</v>
      </c>
      <c r="B53" s="17" t="s">
        <v>112</v>
      </c>
      <c r="C53" s="19"/>
      <c r="D53" s="44" t="s">
        <v>130</v>
      </c>
      <c r="E53" s="21" t="s">
        <v>66</v>
      </c>
      <c r="F53" s="21" t="s">
        <v>114</v>
      </c>
      <c r="G53" s="23"/>
      <c r="H53" s="23"/>
      <c r="I53" s="24"/>
      <c r="J53" s="45"/>
      <c r="K53" s="47"/>
      <c r="L53" s="48"/>
      <c r="M53" s="6"/>
      <c r="N53" s="6"/>
      <c r="O53" s="6"/>
      <c r="P53" s="6"/>
      <c r="Q53" s="6"/>
      <c r="R53" s="6"/>
      <c r="S53" s="6"/>
      <c r="T53" s="6"/>
    </row>
    <row r="54">
      <c r="A54" s="26"/>
      <c r="B54" s="27"/>
      <c r="C54" s="28"/>
      <c r="D54" s="30">
        <v>76.98</v>
      </c>
      <c r="E54" s="30">
        <v>62.73</v>
      </c>
      <c r="F54" s="30">
        <v>48.48</v>
      </c>
      <c r="G54" s="35">
        <f>SUM(D54,E54,F54)</f>
        <v>188.19</v>
      </c>
      <c r="H54" s="38">
        <f>AVERAGE(D54,E54,F54)</f>
        <v>62.73</v>
      </c>
      <c r="I54" s="64"/>
      <c r="J54" s="65">
        <v>0.0</v>
      </c>
      <c r="K54" s="64"/>
      <c r="L54" s="42">
        <f>H54*J54</f>
        <v>0</v>
      </c>
      <c r="M54" s="6"/>
      <c r="N54" s="6"/>
      <c r="O54" s="6"/>
      <c r="P54" s="6"/>
      <c r="Q54" s="6"/>
      <c r="R54" s="6"/>
      <c r="S54" s="6"/>
      <c r="T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>
        <f>SUM(H4:H54)</f>
        <v>401.1266667</v>
      </c>
      <c r="I55" s="64"/>
      <c r="J55" s="69" t="s">
        <v>9</v>
      </c>
      <c r="K55" s="28"/>
      <c r="L55" s="70">
        <f>SUM(L4:L54)</f>
        <v>705.5083667</v>
      </c>
      <c r="M55" s="6"/>
      <c r="N55" s="6"/>
      <c r="O55" s="6"/>
      <c r="P55" s="6"/>
      <c r="Q55" s="6"/>
      <c r="R55" s="6"/>
      <c r="S55" s="6"/>
      <c r="T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  <c r="O56" s="6"/>
      <c r="P56" s="6"/>
      <c r="Q56" s="6"/>
      <c r="R56" s="6"/>
      <c r="S56" s="6"/>
      <c r="T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  <c r="O57" s="6"/>
      <c r="P57" s="6"/>
      <c r="Q57" s="6"/>
      <c r="R57" s="6"/>
      <c r="S57" s="6"/>
      <c r="T57" s="6"/>
    </row>
    <row r="58">
      <c r="A58" s="26"/>
      <c r="B58" s="27"/>
      <c r="C58" s="28"/>
      <c r="D58" s="30">
        <v>6.18</v>
      </c>
      <c r="E58" s="30">
        <v>6.18</v>
      </c>
      <c r="F58" s="30">
        <v>6.18</v>
      </c>
      <c r="G58" s="35">
        <f>SUM(D58,E58,F58)</f>
        <v>18.54</v>
      </c>
      <c r="H58" s="38">
        <f>AVERAGE(D58,E58,F58)</f>
        <v>6.18</v>
      </c>
      <c r="I58" s="24"/>
      <c r="J58" s="73">
        <v>4.0</v>
      </c>
      <c r="K58" s="40"/>
      <c r="L58" s="42">
        <f>H58*J58</f>
        <v>24.72</v>
      </c>
      <c r="M58" s="6"/>
      <c r="N58" s="6"/>
      <c r="O58" s="6"/>
      <c r="P58" s="6"/>
      <c r="Q58" s="6"/>
      <c r="R58" s="6"/>
      <c r="S58" s="6"/>
      <c r="T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  <c r="O59" s="6"/>
      <c r="P59" s="6"/>
      <c r="Q59" s="6"/>
      <c r="R59" s="6"/>
      <c r="S59" s="6"/>
      <c r="T59" s="6"/>
    </row>
    <row r="60">
      <c r="A60" s="26"/>
      <c r="B60" s="27"/>
      <c r="C60" s="28"/>
      <c r="D60" s="30">
        <v>2.99</v>
      </c>
      <c r="E60" s="30">
        <v>2.99</v>
      </c>
      <c r="F60" s="62"/>
      <c r="G60" s="35">
        <f>SUM(D60,E60,F60)</f>
        <v>5.98</v>
      </c>
      <c r="H60" s="38">
        <f>AVERAGE(D60,E60,F60)</f>
        <v>2.99</v>
      </c>
      <c r="I60" s="24"/>
      <c r="J60" s="73">
        <v>15.0</v>
      </c>
      <c r="K60" s="40"/>
      <c r="L60" s="42">
        <f>H60*J60</f>
        <v>44.85</v>
      </c>
      <c r="M60" s="6"/>
      <c r="N60" s="6"/>
      <c r="O60" s="6"/>
      <c r="P60" s="6"/>
      <c r="Q60" s="6"/>
      <c r="R60" s="6"/>
      <c r="S60" s="6"/>
      <c r="T60" s="6"/>
    </row>
    <row r="61">
      <c r="A61" s="15">
        <f>A59+1</f>
        <v>29</v>
      </c>
      <c r="B61" s="17" t="s">
        <v>127</v>
      </c>
      <c r="C61" s="19"/>
      <c r="D61" s="21" t="s">
        <v>147</v>
      </c>
      <c r="E61" s="21" t="s">
        <v>128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  <c r="O61" s="6"/>
      <c r="P61" s="6"/>
      <c r="Q61" s="6"/>
      <c r="R61" s="6"/>
      <c r="S61" s="6"/>
      <c r="T61" s="6"/>
    </row>
    <row r="62">
      <c r="A62" s="26"/>
      <c r="B62" s="27"/>
      <c r="C62" s="28"/>
      <c r="D62" s="30">
        <v>3.59</v>
      </c>
      <c r="E62" s="30">
        <v>3.99</v>
      </c>
      <c r="F62" s="30">
        <v>4.38</v>
      </c>
      <c r="G62" s="35">
        <f>SUM(D62,E62,F62)</f>
        <v>11.96</v>
      </c>
      <c r="H62" s="38">
        <f>AVERAGE(D62,E62,F62)</f>
        <v>3.986666667</v>
      </c>
      <c r="I62" s="24"/>
      <c r="J62" s="73">
        <v>2.0</v>
      </c>
      <c r="K62" s="40"/>
      <c r="L62" s="42">
        <f>H62*J62</f>
        <v>7.973333333</v>
      </c>
      <c r="M62" s="6"/>
      <c r="N62" s="6"/>
      <c r="O62" s="6"/>
      <c r="P62" s="6"/>
      <c r="Q62" s="6"/>
      <c r="R62" s="6"/>
      <c r="S62" s="6"/>
      <c r="T62" s="6"/>
    </row>
    <row r="63">
      <c r="A63" s="15">
        <f>A61+1</f>
        <v>30</v>
      </c>
      <c r="B63" s="17" t="s">
        <v>131</v>
      </c>
      <c r="C63" s="19"/>
      <c r="D63" s="21" t="s">
        <v>123</v>
      </c>
      <c r="E63" s="21" t="s">
        <v>124</v>
      </c>
      <c r="F63" s="21" t="s">
        <v>132</v>
      </c>
      <c r="G63" s="23"/>
      <c r="H63" s="23"/>
      <c r="I63" s="24"/>
      <c r="J63" s="47"/>
      <c r="K63" s="27"/>
      <c r="L63" s="67"/>
      <c r="M63" s="6"/>
      <c r="N63" s="6"/>
      <c r="O63" s="6"/>
      <c r="P63" s="6"/>
      <c r="Q63" s="6"/>
      <c r="R63" s="6"/>
      <c r="S63" s="6"/>
      <c r="T63" s="6"/>
    </row>
    <row r="64">
      <c r="A64" s="26"/>
      <c r="B64" s="27"/>
      <c r="C64" s="28"/>
      <c r="D64" s="30">
        <v>2.98</v>
      </c>
      <c r="E64" s="30">
        <v>3.18</v>
      </c>
      <c r="F64" s="30">
        <v>2.99</v>
      </c>
      <c r="G64" s="35">
        <f>SUM(D64,E64,F64)</f>
        <v>9.15</v>
      </c>
      <c r="H64" s="38">
        <f>AVERAGE(D64,E64,F64)</f>
        <v>3.05</v>
      </c>
      <c r="I64" s="64"/>
      <c r="J64" s="73">
        <v>2.0</v>
      </c>
      <c r="K64" s="40"/>
      <c r="L64" s="42">
        <f>H64*J64</f>
        <v>6.1</v>
      </c>
      <c r="M64" s="6"/>
      <c r="N64" s="6"/>
      <c r="O64" s="6"/>
      <c r="P64" s="6"/>
      <c r="Q64" s="6"/>
      <c r="R64" s="6"/>
      <c r="S64" s="6"/>
      <c r="T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>
        <f>SUM(H57:H64)</f>
        <v>16.20666667</v>
      </c>
      <c r="I65" s="64"/>
      <c r="J65" s="69" t="s">
        <v>9</v>
      </c>
      <c r="K65" s="28"/>
      <c r="L65" s="70">
        <f>SUM(L57:L64)</f>
        <v>83.64333333</v>
      </c>
      <c r="M65" s="6"/>
      <c r="N65" s="6"/>
      <c r="O65" s="6"/>
      <c r="P65" s="6"/>
      <c r="Q65" s="6"/>
      <c r="R65" s="6"/>
      <c r="S65" s="6"/>
      <c r="T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  <c r="O66" s="6"/>
      <c r="P66" s="6"/>
      <c r="Q66" s="6"/>
      <c r="R66" s="6"/>
      <c r="S66" s="6"/>
      <c r="T66" s="6"/>
    </row>
    <row r="67">
      <c r="A67" s="15">
        <f>A63+1</f>
        <v>31</v>
      </c>
      <c r="B67" s="17" t="s">
        <v>136</v>
      </c>
      <c r="C67" s="19"/>
      <c r="D67" s="21" t="s">
        <v>157</v>
      </c>
      <c r="E67" s="44" t="s">
        <v>158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  <c r="O67" s="6"/>
      <c r="P67" s="6"/>
      <c r="Q67" s="6"/>
      <c r="R67" s="6"/>
      <c r="S67" s="6"/>
      <c r="T67" s="6"/>
    </row>
    <row r="68">
      <c r="A68" s="26"/>
      <c r="B68" s="27"/>
      <c r="C68" s="28"/>
      <c r="D68" s="30">
        <v>4.18</v>
      </c>
      <c r="E68" s="30">
        <v>6.68</v>
      </c>
      <c r="F68" s="30">
        <v>5.43</v>
      </c>
      <c r="G68" s="35">
        <f>SUM(D68,E68,F68)</f>
        <v>16.29</v>
      </c>
      <c r="H68" s="38">
        <f>AVERAGE(D68,E68,F68)</f>
        <v>5.43</v>
      </c>
      <c r="I68" s="24"/>
      <c r="J68" s="73">
        <v>3.0</v>
      </c>
      <c r="K68" s="40"/>
      <c r="L68" s="42">
        <f>H68*J68</f>
        <v>16.29</v>
      </c>
      <c r="M68" s="6"/>
      <c r="N68" s="6"/>
      <c r="O68" s="6"/>
      <c r="P68" s="6"/>
      <c r="Q68" s="6"/>
      <c r="R68" s="6"/>
      <c r="S68" s="6"/>
      <c r="T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  <c r="O69" s="6"/>
      <c r="P69" s="6"/>
      <c r="Q69" s="6"/>
      <c r="R69" s="6"/>
      <c r="S69" s="6"/>
      <c r="T69" s="6"/>
    </row>
    <row r="70">
      <c r="A70" s="26"/>
      <c r="B70" s="27"/>
      <c r="C70" s="28"/>
      <c r="D70" s="30">
        <v>8.18</v>
      </c>
      <c r="E70" s="30">
        <v>5.68</v>
      </c>
      <c r="F70" s="62"/>
      <c r="G70" s="35">
        <f>SUM(D70,E70,F70)</f>
        <v>13.86</v>
      </c>
      <c r="H70" s="38">
        <f>AVERAGE(D70,E70,F70)</f>
        <v>6.93</v>
      </c>
      <c r="I70" s="24"/>
      <c r="J70" s="73">
        <v>2.0</v>
      </c>
      <c r="K70" s="40"/>
      <c r="L70" s="42">
        <f>H70*J70</f>
        <v>13.86</v>
      </c>
      <c r="M70" s="6"/>
      <c r="N70" s="6"/>
      <c r="O70" s="6"/>
      <c r="P70" s="6"/>
      <c r="Q70" s="6"/>
      <c r="R70" s="6"/>
      <c r="S70" s="6"/>
      <c r="T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  <c r="O71" s="6"/>
      <c r="P71" s="6"/>
      <c r="Q71" s="6"/>
      <c r="R71" s="6"/>
      <c r="S71" s="6"/>
      <c r="T71" s="6"/>
    </row>
    <row r="72">
      <c r="A72" s="26"/>
      <c r="B72" s="27"/>
      <c r="C72" s="28"/>
      <c r="D72" s="30">
        <v>3.18</v>
      </c>
      <c r="E72" s="30">
        <v>2.99</v>
      </c>
      <c r="F72" s="62"/>
      <c r="G72" s="35">
        <f>SUM(D72,E72,F72)</f>
        <v>6.17</v>
      </c>
      <c r="H72" s="38">
        <f>AVERAGE(D72,E72,F72)</f>
        <v>3.085</v>
      </c>
      <c r="I72" s="24"/>
      <c r="J72" s="73">
        <v>10.0</v>
      </c>
      <c r="K72" s="40"/>
      <c r="L72" s="42">
        <f>H72*J72</f>
        <v>30.85</v>
      </c>
      <c r="M72" s="6"/>
      <c r="N72" s="6"/>
      <c r="O72" s="6"/>
      <c r="P72" s="6"/>
      <c r="Q72" s="6"/>
      <c r="R72" s="6"/>
      <c r="S72" s="6"/>
      <c r="T72" s="6"/>
    </row>
    <row r="73">
      <c r="A73" s="15">
        <f>A71+1</f>
        <v>34</v>
      </c>
      <c r="B73" s="17" t="s">
        <v>149</v>
      </c>
      <c r="C73" s="19"/>
      <c r="D73" s="44" t="s">
        <v>163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  <c r="O73" s="6"/>
      <c r="P73" s="6"/>
      <c r="Q73" s="6"/>
      <c r="R73" s="6"/>
      <c r="S73" s="6"/>
      <c r="T73" s="6"/>
    </row>
    <row r="74">
      <c r="A74" s="26"/>
      <c r="B74" s="27"/>
      <c r="C74" s="28"/>
      <c r="D74" s="30">
        <v>20.58</v>
      </c>
      <c r="E74" s="30">
        <v>12.28</v>
      </c>
      <c r="F74" s="62"/>
      <c r="G74" s="35">
        <f>SUM(D74,E74,F74)</f>
        <v>32.86</v>
      </c>
      <c r="H74" s="38">
        <f>AVERAGE(D74,E74,F74)</f>
        <v>16.43</v>
      </c>
      <c r="I74" s="24"/>
      <c r="J74" s="73">
        <v>2.0</v>
      </c>
      <c r="K74" s="40"/>
      <c r="L74" s="42">
        <f>H74*J74</f>
        <v>32.86</v>
      </c>
      <c r="M74" s="6"/>
      <c r="N74" s="6"/>
      <c r="O74" s="6"/>
      <c r="P74" s="6"/>
      <c r="Q74" s="6"/>
      <c r="R74" s="6"/>
      <c r="S74" s="6"/>
      <c r="T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  <c r="O75" s="6"/>
      <c r="P75" s="6"/>
      <c r="Q75" s="6"/>
      <c r="R75" s="6"/>
      <c r="S75" s="6"/>
      <c r="T75" s="6"/>
    </row>
    <row r="76">
      <c r="A76" s="26"/>
      <c r="B76" s="27"/>
      <c r="C76" s="28"/>
      <c r="D76" s="30">
        <v>3.88</v>
      </c>
      <c r="E76" s="30">
        <v>5.98</v>
      </c>
      <c r="F76" s="62"/>
      <c r="G76" s="35">
        <f>SUM(D76,E76,F76)</f>
        <v>9.86</v>
      </c>
      <c r="H76" s="38">
        <f>AVERAGE(D76,E76,F76)</f>
        <v>4.93</v>
      </c>
      <c r="I76" s="64"/>
      <c r="J76" s="73">
        <v>1.0</v>
      </c>
      <c r="K76" s="40"/>
      <c r="L76" s="42">
        <f>H76*J76</f>
        <v>4.93</v>
      </c>
      <c r="M76" s="6"/>
      <c r="N76" s="6"/>
      <c r="O76" s="6"/>
      <c r="P76" s="6"/>
      <c r="Q76" s="6"/>
      <c r="R76" s="6"/>
      <c r="S76" s="6"/>
      <c r="T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36.805</v>
      </c>
      <c r="I77" s="64"/>
      <c r="J77" s="69" t="s">
        <v>9</v>
      </c>
      <c r="K77" s="28"/>
      <c r="L77" s="70">
        <f>SUM(L68:L76)</f>
        <v>98.79</v>
      </c>
      <c r="M77" s="6"/>
      <c r="N77" s="6"/>
      <c r="O77" s="6"/>
      <c r="P77" s="6"/>
      <c r="Q77" s="6"/>
      <c r="R77" s="6"/>
      <c r="S77" s="6"/>
      <c r="T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  <c r="O78" s="6"/>
      <c r="P78" s="6"/>
      <c r="Q78" s="6"/>
      <c r="R78" s="6"/>
      <c r="S78" s="6"/>
      <c r="T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  <c r="O79" s="6"/>
      <c r="P79" s="6"/>
      <c r="Q79" s="6"/>
      <c r="R79" s="6"/>
      <c r="S79" s="6"/>
      <c r="T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454.1383333</v>
      </c>
      <c r="I80" s="6"/>
      <c r="J80" s="24"/>
      <c r="K80" s="81" t="s">
        <v>9</v>
      </c>
      <c r="L80" s="70">
        <f>L55+L65+L77</f>
        <v>887.9417</v>
      </c>
      <c r="M80" s="6"/>
      <c r="N80" s="6"/>
      <c r="O80" s="6"/>
      <c r="P80" s="6"/>
      <c r="Q80" s="6"/>
      <c r="R80" s="6"/>
      <c r="S80" s="6"/>
      <c r="T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  <c r="O82" s="6"/>
      <c r="P82" s="6"/>
      <c r="Q82" s="6"/>
      <c r="R82" s="6"/>
      <c r="S82" s="6"/>
      <c r="T82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4" t="s">
        <v>2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26"/>
      <c r="B4" s="27"/>
      <c r="C4" s="28"/>
      <c r="D4" s="30">
        <v>19.9</v>
      </c>
      <c r="E4" s="30">
        <v>18.0</v>
      </c>
      <c r="F4" s="30">
        <v>22.0</v>
      </c>
      <c r="G4" s="35">
        <f>SUM(D4,E4,F4)</f>
        <v>59.9</v>
      </c>
      <c r="H4" s="38">
        <f>AVERAGE(D4,E4,F4)</f>
        <v>19.96666667</v>
      </c>
      <c r="I4" s="24"/>
      <c r="J4" s="39">
        <v>0.6</v>
      </c>
      <c r="K4" s="40" t="s">
        <v>15</v>
      </c>
      <c r="L4" s="42">
        <f>H4*J4</f>
        <v>11.98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5">
        <f>A3+1</f>
        <v>2</v>
      </c>
      <c r="B5" s="17" t="s">
        <v>16</v>
      </c>
      <c r="C5" s="19"/>
      <c r="D5" s="21" t="s">
        <v>6</v>
      </c>
      <c r="E5" s="44" t="s">
        <v>21</v>
      </c>
      <c r="F5" s="44" t="s">
        <v>22</v>
      </c>
      <c r="G5" s="23"/>
      <c r="H5" s="23"/>
      <c r="I5" s="24"/>
      <c r="J5" s="45"/>
      <c r="K5" s="47"/>
      <c r="L5" s="4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6"/>
      <c r="B6" s="27"/>
      <c r="C6" s="28"/>
      <c r="D6" s="30">
        <v>8.5</v>
      </c>
      <c r="E6" s="30">
        <v>9.7</v>
      </c>
      <c r="F6" s="30">
        <v>9.95</v>
      </c>
      <c r="G6" s="35">
        <f>SUM(D6,E6,F6)</f>
        <v>28.15</v>
      </c>
      <c r="H6" s="38">
        <f>AVERAGE(D6,E6,F6)</f>
        <v>9.383333333</v>
      </c>
      <c r="I6" s="24"/>
      <c r="J6" s="39">
        <v>4.0</v>
      </c>
      <c r="K6" s="40"/>
      <c r="L6" s="42">
        <f>H6*J6</f>
        <v>37.53333333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5">
        <f>A5+1</f>
        <v>3</v>
      </c>
      <c r="B7" s="17" t="s">
        <v>23</v>
      </c>
      <c r="C7" s="19"/>
      <c r="D7" s="21" t="s">
        <v>24</v>
      </c>
      <c r="E7" s="21" t="s">
        <v>25</v>
      </c>
      <c r="F7" s="21" t="s">
        <v>26</v>
      </c>
      <c r="G7" s="23"/>
      <c r="H7" s="23"/>
      <c r="I7" s="24"/>
      <c r="J7" s="45"/>
      <c r="K7" s="47"/>
      <c r="L7" s="4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26"/>
      <c r="B8" s="27"/>
      <c r="C8" s="28"/>
      <c r="D8" s="30">
        <v>13.95</v>
      </c>
      <c r="E8" s="30"/>
      <c r="F8" s="30"/>
      <c r="G8" s="35">
        <f>SUM(D8,E8,F8)</f>
        <v>13.95</v>
      </c>
      <c r="H8" s="38">
        <f>AVERAGE(D8,E8,F8)</f>
        <v>13.95</v>
      </c>
      <c r="I8" s="24"/>
      <c r="J8" s="39">
        <v>0.6</v>
      </c>
      <c r="K8" s="40"/>
      <c r="L8" s="42">
        <f>H8*J8</f>
        <v>8.37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5">
        <f>A7+1</f>
        <v>4</v>
      </c>
      <c r="B9" s="17" t="s">
        <v>28</v>
      </c>
      <c r="C9" s="19"/>
      <c r="D9" s="21" t="s">
        <v>29</v>
      </c>
      <c r="E9" s="21" t="s">
        <v>30</v>
      </c>
      <c r="F9" s="21" t="s">
        <v>31</v>
      </c>
      <c r="G9" s="23"/>
      <c r="H9" s="23"/>
      <c r="I9" s="24"/>
      <c r="J9" s="45"/>
      <c r="K9" s="47"/>
      <c r="L9" s="48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6"/>
      <c r="B10" s="27"/>
      <c r="C10" s="28"/>
      <c r="D10" s="30">
        <v>28.8</v>
      </c>
      <c r="E10" s="30">
        <v>25.9</v>
      </c>
      <c r="F10" s="30">
        <v>24.9</v>
      </c>
      <c r="G10" s="35">
        <f>SUM(D10,E10,F10)</f>
        <v>79.6</v>
      </c>
      <c r="H10" s="38">
        <f>AVERAGE(D10,E10,F10)</f>
        <v>26.53333333</v>
      </c>
      <c r="I10" s="24"/>
      <c r="J10" s="39">
        <v>1.2</v>
      </c>
      <c r="K10" s="40"/>
      <c r="L10" s="42">
        <f>H10*J10</f>
        <v>31.84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5">
        <f>A9+1</f>
        <v>5</v>
      </c>
      <c r="B11" s="17" t="s">
        <v>34</v>
      </c>
      <c r="C11" s="19"/>
      <c r="D11" s="21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26"/>
      <c r="B12" s="27"/>
      <c r="C12" s="28"/>
      <c r="D12" s="30">
        <v>4.98</v>
      </c>
      <c r="E12" s="30">
        <v>4.75</v>
      </c>
      <c r="F12" s="30">
        <v>4.39</v>
      </c>
      <c r="G12" s="35">
        <f>SUM(D12,E12,F12)</f>
        <v>14.12</v>
      </c>
      <c r="H12" s="38">
        <f>AVERAGE(D12,E12,F12)</f>
        <v>4.706666667</v>
      </c>
      <c r="I12" s="24"/>
      <c r="J12" s="39">
        <v>0.0</v>
      </c>
      <c r="K12" s="40"/>
      <c r="L12" s="42">
        <f>H12*J12</f>
        <v>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5">
        <f>A11+1</f>
        <v>6</v>
      </c>
      <c r="B13" s="17" t="s">
        <v>38</v>
      </c>
      <c r="C13" s="19"/>
      <c r="D13" s="44" t="s">
        <v>48</v>
      </c>
      <c r="E13" s="44" t="s">
        <v>6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26"/>
      <c r="B14" s="27"/>
      <c r="C14" s="28"/>
      <c r="D14" s="30">
        <v>5.29</v>
      </c>
      <c r="E14" s="30">
        <v>4.9</v>
      </c>
      <c r="F14" s="30"/>
      <c r="G14" s="35">
        <f>SUM(D14,E14,F14)</f>
        <v>10.19</v>
      </c>
      <c r="H14" s="38">
        <f>AVERAGE(D14,E14,F14)</f>
        <v>5.095</v>
      </c>
      <c r="I14" s="24"/>
      <c r="J14" s="39">
        <v>1.0</v>
      </c>
      <c r="K14" s="40"/>
      <c r="L14" s="42">
        <f>H14*J14</f>
        <v>5.095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5">
        <f>A13+1</f>
        <v>7</v>
      </c>
      <c r="B15" s="17" t="s">
        <v>43</v>
      </c>
      <c r="C15" s="19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26"/>
      <c r="B16" s="27"/>
      <c r="C16" s="28"/>
      <c r="D16" s="30">
        <v>9.65</v>
      </c>
      <c r="E16" s="62"/>
      <c r="F16" s="62"/>
      <c r="G16" s="35">
        <f>SUM(D16,E16,F16)</f>
        <v>9.65</v>
      </c>
      <c r="H16" s="38">
        <f>AVERAGE(D16,E16,F16)</f>
        <v>9.65</v>
      </c>
      <c r="I16" s="24"/>
      <c r="J16" s="39">
        <v>6.0</v>
      </c>
      <c r="K16" s="40"/>
      <c r="L16" s="42">
        <f>H16*J16</f>
        <v>57.9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26"/>
      <c r="B18" s="27"/>
      <c r="C18" s="28"/>
      <c r="D18" s="30">
        <v>4.99</v>
      </c>
      <c r="E18" s="62"/>
      <c r="F18" s="62"/>
      <c r="G18" s="35">
        <f>SUM(D18,E18,F18)</f>
        <v>4.99</v>
      </c>
      <c r="H18" s="38">
        <f>AVERAGE(D18,E18,F18)</f>
        <v>4.99</v>
      </c>
      <c r="I18" s="24"/>
      <c r="J18" s="39">
        <v>0.0</v>
      </c>
      <c r="K18" s="40"/>
      <c r="L18" s="42">
        <f>H18*J18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6"/>
      <c r="B20" s="27"/>
      <c r="C20" s="28"/>
      <c r="D20" s="30">
        <v>11.25</v>
      </c>
      <c r="E20" s="62"/>
      <c r="F20" s="62"/>
      <c r="G20" s="35">
        <f>SUM(D20,E20,F20)</f>
        <v>11.25</v>
      </c>
      <c r="H20" s="38">
        <f>AVERAGE(D20,E20,F20)</f>
        <v>11.25</v>
      </c>
      <c r="I20" s="24"/>
      <c r="J20" s="39">
        <v>9.0</v>
      </c>
      <c r="K20" s="40"/>
      <c r="L20" s="42">
        <f>H20*J20</f>
        <v>101.25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26"/>
      <c r="B22" s="27"/>
      <c r="C22" s="28"/>
      <c r="D22" s="30">
        <v>26.99</v>
      </c>
      <c r="E22" s="62"/>
      <c r="F22" s="62"/>
      <c r="G22" s="35">
        <f>SUM(D22,E22,F22)</f>
        <v>26.99</v>
      </c>
      <c r="H22" s="38">
        <f>AVERAGE(D22,E22,F22)</f>
        <v>26.99</v>
      </c>
      <c r="I22" s="24"/>
      <c r="J22" s="39">
        <v>0.0</v>
      </c>
      <c r="K22" s="40"/>
      <c r="L22" s="42">
        <f>H22*J22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26"/>
      <c r="B24" s="27"/>
      <c r="C24" s="28"/>
      <c r="D24" s="30">
        <v>9.85</v>
      </c>
      <c r="E24" s="30">
        <v>10.79</v>
      </c>
      <c r="F24" s="62"/>
      <c r="G24" s="35">
        <f>SUM(D24,E24,F24)</f>
        <v>20.64</v>
      </c>
      <c r="H24" s="38">
        <f>AVERAGE(D24,E24,F24)</f>
        <v>10.32</v>
      </c>
      <c r="I24" s="24"/>
      <c r="J24" s="39">
        <v>0.0</v>
      </c>
      <c r="K24" s="40"/>
      <c r="L24" s="42">
        <f>H24*J24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44" t="s">
        <v>92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26"/>
      <c r="B26" s="27"/>
      <c r="C26" s="28"/>
      <c r="D26" s="30">
        <v>6.15</v>
      </c>
      <c r="E26" s="30">
        <v>3.78</v>
      </c>
      <c r="F26" s="30">
        <v>5.39</v>
      </c>
      <c r="G26" s="35">
        <f>SUM(D26,E26,F26)</f>
        <v>15.32</v>
      </c>
      <c r="H26" s="38">
        <f>AVERAGE(D26,E26,F26)</f>
        <v>5.106666667</v>
      </c>
      <c r="I26" s="24"/>
      <c r="J26" s="39">
        <v>3.0</v>
      </c>
      <c r="K26" s="40"/>
      <c r="L26" s="42">
        <f>H26*J26</f>
        <v>15.32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5">
        <f>A25+1</f>
        <v>13</v>
      </c>
      <c r="B27" s="17" t="s">
        <v>64</v>
      </c>
      <c r="C27" s="19"/>
      <c r="D27" s="44" t="s">
        <v>76</v>
      </c>
      <c r="E27" s="44" t="s">
        <v>98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26"/>
      <c r="B28" s="27"/>
      <c r="C28" s="28"/>
      <c r="D28" s="30">
        <v>3.45</v>
      </c>
      <c r="E28" s="30">
        <v>1.65</v>
      </c>
      <c r="F28" s="30">
        <v>5.15</v>
      </c>
      <c r="G28" s="35">
        <f>SUM(D28,E28,F28)</f>
        <v>10.25</v>
      </c>
      <c r="H28" s="38">
        <f>AVERAGE(D28,E28,F28)</f>
        <v>3.416666667</v>
      </c>
      <c r="I28" s="24"/>
      <c r="J28" s="39">
        <v>0.0</v>
      </c>
      <c r="K28" s="40"/>
      <c r="L28" s="42">
        <f>H28*J28</f>
        <v>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26"/>
      <c r="B30" s="27"/>
      <c r="C30" s="28"/>
      <c r="D30" s="30">
        <v>17.4</v>
      </c>
      <c r="E30" s="62"/>
      <c r="F30" s="62"/>
      <c r="G30" s="35">
        <f>SUM(D30,E30,F30)</f>
        <v>17.4</v>
      </c>
      <c r="H30" s="38">
        <f>AVERAGE(D30,E30,F30)</f>
        <v>17.4</v>
      </c>
      <c r="I30" s="24"/>
      <c r="J30" s="39">
        <v>6.0</v>
      </c>
      <c r="K30" s="40"/>
      <c r="L30" s="42">
        <f>H30*J30</f>
        <v>104.4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26"/>
      <c r="B32" s="27"/>
      <c r="C32" s="28"/>
      <c r="D32" s="30">
        <v>5.99</v>
      </c>
      <c r="E32" s="30">
        <v>2.99</v>
      </c>
      <c r="F32" s="62"/>
      <c r="G32" s="35">
        <f>SUM(D32,E32,F32)</f>
        <v>8.98</v>
      </c>
      <c r="H32" s="38">
        <f>AVERAGE(D32,E32,F32)</f>
        <v>4.49</v>
      </c>
      <c r="I32" s="24"/>
      <c r="J32" s="39">
        <v>7.5</v>
      </c>
      <c r="K32" s="40"/>
      <c r="L32" s="42">
        <f>H32*J32</f>
        <v>33.675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44" t="s">
        <v>77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26"/>
      <c r="B34" s="27"/>
      <c r="C34" s="28"/>
      <c r="D34" s="30">
        <v>7.39</v>
      </c>
      <c r="E34" s="30">
        <v>6.98</v>
      </c>
      <c r="F34" s="30">
        <v>6.98</v>
      </c>
      <c r="G34" s="35">
        <f>SUM(D34,E34,F34)</f>
        <v>21.35</v>
      </c>
      <c r="H34" s="38">
        <f>AVERAGE(D34,E34,F34)</f>
        <v>7.116666667</v>
      </c>
      <c r="I34" s="24"/>
      <c r="J34" s="39">
        <v>0.83</v>
      </c>
      <c r="K34" s="40"/>
      <c r="L34" s="42">
        <f>H34*J34</f>
        <v>5.906833333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44" t="s">
        <v>81</v>
      </c>
      <c r="F35" s="44" t="s">
        <v>125</v>
      </c>
      <c r="G35" s="23"/>
      <c r="H35" s="23"/>
      <c r="I35" s="24"/>
      <c r="J35" s="45"/>
      <c r="K35" s="47"/>
      <c r="L35" s="4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26"/>
      <c r="B36" s="27"/>
      <c r="C36" s="28"/>
      <c r="D36" s="30">
        <v>6.65</v>
      </c>
      <c r="E36" s="30">
        <v>5.6</v>
      </c>
      <c r="F36" s="30">
        <v>5.6</v>
      </c>
      <c r="G36" s="35">
        <f>SUM(D36,E36,F36)</f>
        <v>17.85</v>
      </c>
      <c r="H36" s="38">
        <f>AVERAGE(D36,E36,F36)</f>
        <v>5.95</v>
      </c>
      <c r="I36" s="24"/>
      <c r="J36" s="39">
        <v>7.5</v>
      </c>
      <c r="K36" s="40"/>
      <c r="L36" s="42">
        <f>H36*J36</f>
        <v>44.625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5">
        <f>A35+1</f>
        <v>18</v>
      </c>
      <c r="B37" s="17" t="s">
        <v>83</v>
      </c>
      <c r="C37" s="19"/>
      <c r="D37" s="21" t="s">
        <v>80</v>
      </c>
      <c r="E37" s="21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26"/>
      <c r="B38" s="27"/>
      <c r="C38" s="28"/>
      <c r="D38" s="30">
        <v>17.5</v>
      </c>
      <c r="E38" s="30">
        <v>18.8</v>
      </c>
      <c r="F38" s="30"/>
      <c r="G38" s="35">
        <f>SUM(D38,E38,F38)</f>
        <v>36.3</v>
      </c>
      <c r="H38" s="38">
        <f>AVERAGE(D38,E38,F38)</f>
        <v>18.15</v>
      </c>
      <c r="I38" s="24"/>
      <c r="J38" s="39">
        <v>0.0</v>
      </c>
      <c r="K38" s="40"/>
      <c r="L38" s="42">
        <f>H38*J38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21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26"/>
      <c r="B40" s="27"/>
      <c r="C40" s="28"/>
      <c r="D40" s="30">
        <v>4.1</v>
      </c>
      <c r="E40" s="30">
        <v>4.05</v>
      </c>
      <c r="F40" s="30">
        <v>5.1</v>
      </c>
      <c r="G40" s="35">
        <f>SUM(D40,E40,F40)</f>
        <v>13.25</v>
      </c>
      <c r="H40" s="38">
        <f>AVERAGE(D40,E40,F40)</f>
        <v>4.416666667</v>
      </c>
      <c r="I40" s="24"/>
      <c r="J40" s="39">
        <v>0.0</v>
      </c>
      <c r="K40" s="40"/>
      <c r="L40" s="42">
        <f>H40*J40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5">
        <f>A39+1</f>
        <v>20</v>
      </c>
      <c r="B41" s="17" t="s">
        <v>88</v>
      </c>
      <c r="C41" s="19"/>
      <c r="D41" s="21" t="s">
        <v>89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26"/>
      <c r="B42" s="27"/>
      <c r="C42" s="28"/>
      <c r="D42" s="30"/>
      <c r="E42" s="30">
        <v>3.05</v>
      </c>
      <c r="F42" s="30">
        <v>3.25</v>
      </c>
      <c r="G42" s="35">
        <f>SUM(D42,E42,F42)</f>
        <v>6.3</v>
      </c>
      <c r="H42" s="38">
        <f>AVERAGE(D42,E42,F42)</f>
        <v>3.15</v>
      </c>
      <c r="I42" s="24"/>
      <c r="J42" s="39">
        <v>0.0</v>
      </c>
      <c r="K42" s="40"/>
      <c r="L42" s="42">
        <f>H42*J42</f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26"/>
      <c r="B44" s="27"/>
      <c r="C44" s="28"/>
      <c r="D44" s="30">
        <v>59.99</v>
      </c>
      <c r="E44" s="30">
        <v>49.99</v>
      </c>
      <c r="F44" s="30">
        <v>49.99</v>
      </c>
      <c r="G44" s="35">
        <f>SUM(D44,E44,F44)</f>
        <v>159.97</v>
      </c>
      <c r="H44" s="38">
        <f>AVERAGE(D44,E44,F44)</f>
        <v>53.32333333</v>
      </c>
      <c r="I44" s="24"/>
      <c r="J44" s="39">
        <v>3.0</v>
      </c>
      <c r="K44" s="40"/>
      <c r="L44" s="42">
        <f>H44*J44</f>
        <v>159.97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26"/>
      <c r="B46" s="27"/>
      <c r="C46" s="28"/>
      <c r="D46" s="30">
        <v>37.99</v>
      </c>
      <c r="E46" s="30">
        <v>25.99</v>
      </c>
      <c r="F46" s="30">
        <v>46.89</v>
      </c>
      <c r="G46" s="35">
        <f>SUM(D46,E46,F46)</f>
        <v>110.87</v>
      </c>
      <c r="H46" s="38">
        <f>AVERAGE(D46,E46,F46)</f>
        <v>36.95666667</v>
      </c>
      <c r="I46" s="24"/>
      <c r="J46" s="39">
        <v>3.0</v>
      </c>
      <c r="K46" s="40"/>
      <c r="L46" s="42">
        <f>H46*J46</f>
        <v>110.87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5">
        <f>A45+1</f>
        <v>23</v>
      </c>
      <c r="B47" s="17" t="s">
        <v>104</v>
      </c>
      <c r="C47" s="19"/>
      <c r="D47" s="21" t="s">
        <v>105</v>
      </c>
      <c r="E47" s="21" t="s">
        <v>106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26"/>
      <c r="B48" s="27"/>
      <c r="C48" s="28"/>
      <c r="D48" s="30">
        <v>10.99</v>
      </c>
      <c r="E48" s="30">
        <v>14.75</v>
      </c>
      <c r="F48" s="62"/>
      <c r="G48" s="35">
        <f>SUM(D48,E48,F48)</f>
        <v>25.74</v>
      </c>
      <c r="H48" s="38">
        <f>AVERAGE(D48,E48,F48)</f>
        <v>12.87</v>
      </c>
      <c r="I48" s="24"/>
      <c r="J48" s="39">
        <v>0.0</v>
      </c>
      <c r="K48" s="40"/>
      <c r="L48" s="42">
        <f>H48*J48</f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5">
        <f>A47+1</f>
        <v>24</v>
      </c>
      <c r="B49" s="17" t="s">
        <v>108</v>
      </c>
      <c r="C49" s="19"/>
      <c r="D49" s="21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26"/>
      <c r="B50" s="27"/>
      <c r="C50" s="28"/>
      <c r="D50" s="30">
        <v>6.98</v>
      </c>
      <c r="E50" s="30">
        <v>13.7</v>
      </c>
      <c r="F50" s="30">
        <v>8.98</v>
      </c>
      <c r="G50" s="35">
        <f>SUM(D50,E50,F50)</f>
        <v>29.66</v>
      </c>
      <c r="H50" s="38">
        <f>AVERAGE(D50,E50,F50)</f>
        <v>9.886666667</v>
      </c>
      <c r="I50" s="24"/>
      <c r="J50" s="39">
        <v>0.0</v>
      </c>
      <c r="K50" s="40"/>
      <c r="L50" s="42">
        <f>H50*J50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5">
        <f>A49+1</f>
        <v>25</v>
      </c>
      <c r="B51" s="17" t="s">
        <v>110</v>
      </c>
      <c r="C51" s="19"/>
      <c r="D51" s="44" t="s">
        <v>165</v>
      </c>
      <c r="E51" s="21" t="s">
        <v>106</v>
      </c>
      <c r="F51" s="21" t="s">
        <v>111</v>
      </c>
      <c r="G51" s="23"/>
      <c r="H51" s="23"/>
      <c r="I51" s="24"/>
      <c r="J51" s="45"/>
      <c r="K51" s="47"/>
      <c r="L51" s="48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26"/>
      <c r="B52" s="27"/>
      <c r="C52" s="28"/>
      <c r="D52" s="30">
        <v>15.8</v>
      </c>
      <c r="E52" s="30">
        <v>20.9</v>
      </c>
      <c r="F52" s="30">
        <v>13.98</v>
      </c>
      <c r="G52" s="35">
        <f>SUM(D52,E52,F52)</f>
        <v>50.68</v>
      </c>
      <c r="H52" s="38">
        <f>AVERAGE(D52,E52,F52)</f>
        <v>16.89333333</v>
      </c>
      <c r="I52" s="24"/>
      <c r="J52" s="39">
        <v>0.0</v>
      </c>
      <c r="K52" s="40"/>
      <c r="L52" s="42">
        <f>H52*J52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5">
        <f>A51+1</f>
        <v>26</v>
      </c>
      <c r="B53" s="17" t="s">
        <v>112</v>
      </c>
      <c r="C53" s="19"/>
      <c r="D53" s="44" t="s">
        <v>167</v>
      </c>
      <c r="E53" s="21" t="s">
        <v>66</v>
      </c>
      <c r="F53" s="21" t="s">
        <v>114</v>
      </c>
      <c r="G53" s="23"/>
      <c r="H53" s="23"/>
      <c r="I53" s="24"/>
      <c r="J53" s="45"/>
      <c r="K53" s="47"/>
      <c r="L53" s="48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26"/>
      <c r="B54" s="27"/>
      <c r="C54" s="28"/>
      <c r="D54" s="30">
        <v>37.98</v>
      </c>
      <c r="E54" s="30">
        <v>34.95</v>
      </c>
      <c r="F54" s="30">
        <v>52.99</v>
      </c>
      <c r="G54" s="35">
        <f>SUM(D54,E54,F54)</f>
        <v>125.92</v>
      </c>
      <c r="H54" s="38">
        <f>AVERAGE(D54,E54,F54)</f>
        <v>41.97333333</v>
      </c>
      <c r="I54" s="64"/>
      <c r="J54" s="65">
        <v>0.0</v>
      </c>
      <c r="K54" s="64"/>
      <c r="L54" s="42">
        <f>H54*J54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>
        <f>SUM(H4:H54)</f>
        <v>383.935</v>
      </c>
      <c r="I55" s="64"/>
      <c r="J55" s="69" t="s">
        <v>9</v>
      </c>
      <c r="K55" s="28"/>
      <c r="L55" s="70">
        <f>SUM(L4:L54)</f>
        <v>728.7351667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26"/>
      <c r="B58" s="27"/>
      <c r="C58" s="28"/>
      <c r="D58" s="30">
        <v>6.05</v>
      </c>
      <c r="E58" s="30">
        <v>11.9</v>
      </c>
      <c r="F58" s="30">
        <v>9.8</v>
      </c>
      <c r="G58" s="35">
        <f>SUM(D58,E58,F58)</f>
        <v>27.75</v>
      </c>
      <c r="H58" s="38">
        <f>AVERAGE(D58,E58,F58)</f>
        <v>9.25</v>
      </c>
      <c r="I58" s="24"/>
      <c r="J58" s="73">
        <v>4.0</v>
      </c>
      <c r="K58" s="40"/>
      <c r="L58" s="42">
        <f>H58*J58</f>
        <v>37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26"/>
      <c r="B60" s="27"/>
      <c r="C60" s="28"/>
      <c r="D60" s="30">
        <v>3.35</v>
      </c>
      <c r="E60" s="30">
        <v>2.6</v>
      </c>
      <c r="F60" s="62"/>
      <c r="G60" s="35">
        <f>SUM(D60,E60,F60)</f>
        <v>5.95</v>
      </c>
      <c r="H60" s="38">
        <f>AVERAGE(D60,E60,F60)</f>
        <v>2.975</v>
      </c>
      <c r="I60" s="24"/>
      <c r="J60" s="73">
        <v>15.0</v>
      </c>
      <c r="K60" s="40"/>
      <c r="L60" s="42">
        <f>H60*J60</f>
        <v>44.625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5">
        <f>A59+1</f>
        <v>29</v>
      </c>
      <c r="B61" s="17" t="s">
        <v>127</v>
      </c>
      <c r="C61" s="19"/>
      <c r="D61" s="21" t="s">
        <v>123</v>
      </c>
      <c r="E61" s="44" t="s">
        <v>170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26"/>
      <c r="B62" s="27"/>
      <c r="C62" s="28"/>
      <c r="D62" s="30">
        <v>4.7</v>
      </c>
      <c r="E62" s="30">
        <v>3.95</v>
      </c>
      <c r="F62" s="30">
        <v>3.9</v>
      </c>
      <c r="G62" s="35">
        <f>SUM(D62,E62,F62)</f>
        <v>12.55</v>
      </c>
      <c r="H62" s="38">
        <f>AVERAGE(D62,E62,F62)</f>
        <v>4.183333333</v>
      </c>
      <c r="I62" s="24"/>
      <c r="J62" s="73">
        <v>2.0</v>
      </c>
      <c r="K62" s="40"/>
      <c r="L62" s="42">
        <f>H62*J62</f>
        <v>8.366666667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5">
        <f>A61+1</f>
        <v>30</v>
      </c>
      <c r="B63" s="17" t="s">
        <v>131</v>
      </c>
      <c r="C63" s="19"/>
      <c r="D63" s="21" t="s">
        <v>123</v>
      </c>
      <c r="E63" s="21" t="s">
        <v>124</v>
      </c>
      <c r="F63" s="44" t="s">
        <v>175</v>
      </c>
      <c r="G63" s="23"/>
      <c r="H63" s="23"/>
      <c r="I63" s="24"/>
      <c r="J63" s="47"/>
      <c r="K63" s="27"/>
      <c r="L63" s="6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26"/>
      <c r="B64" s="27"/>
      <c r="C64" s="28"/>
      <c r="D64" s="30">
        <v>2.69</v>
      </c>
      <c r="E64" s="30">
        <v>3.1</v>
      </c>
      <c r="F64" s="30">
        <v>2.95</v>
      </c>
      <c r="G64" s="35">
        <f>SUM(D64,E64,F64)</f>
        <v>8.74</v>
      </c>
      <c r="H64" s="38">
        <f>AVERAGE(D64,E64,F64)</f>
        <v>2.913333333</v>
      </c>
      <c r="I64" s="64"/>
      <c r="J64" s="73">
        <v>2.0</v>
      </c>
      <c r="K64" s="40"/>
      <c r="L64" s="42">
        <f>H64*J64</f>
        <v>5.826666667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>
        <f>SUM(H57:H64)</f>
        <v>19.32166667</v>
      </c>
      <c r="I65" s="64"/>
      <c r="J65" s="69" t="s">
        <v>9</v>
      </c>
      <c r="K65" s="28"/>
      <c r="L65" s="70">
        <f>SUM(L57:L64)</f>
        <v>95.81833333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5">
        <f>A63+1</f>
        <v>31</v>
      </c>
      <c r="B67" s="17" t="s">
        <v>136</v>
      </c>
      <c r="C67" s="19"/>
      <c r="D67" s="21" t="s">
        <v>157</v>
      </c>
      <c r="E67" s="44" t="s">
        <v>172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26"/>
      <c r="B68" s="27"/>
      <c r="C68" s="28"/>
      <c r="D68" s="30">
        <v>4.5</v>
      </c>
      <c r="E68" s="30">
        <v>6.6</v>
      </c>
      <c r="F68" s="30">
        <v>5.05</v>
      </c>
      <c r="G68" s="35">
        <f>SUM(D68,E68,F68)</f>
        <v>16.15</v>
      </c>
      <c r="H68" s="38">
        <f>AVERAGE(D68,E68,F68)</f>
        <v>5.383333333</v>
      </c>
      <c r="I68" s="24"/>
      <c r="J68" s="73">
        <v>3.0</v>
      </c>
      <c r="K68" s="40"/>
      <c r="L68" s="42">
        <f>H68*J68</f>
        <v>16.15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26"/>
      <c r="B70" s="27"/>
      <c r="C70" s="28"/>
      <c r="D70" s="30">
        <v>7.15</v>
      </c>
      <c r="E70" s="30">
        <v>4.49</v>
      </c>
      <c r="F70" s="62"/>
      <c r="G70" s="35">
        <f>SUM(D70,E70,F70)</f>
        <v>11.64</v>
      </c>
      <c r="H70" s="38">
        <f>AVERAGE(D70,E70,F70)</f>
        <v>5.82</v>
      </c>
      <c r="I70" s="24"/>
      <c r="J70" s="73">
        <v>2.0</v>
      </c>
      <c r="K70" s="40"/>
      <c r="L70" s="42">
        <f>H70*J70</f>
        <v>11.64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26"/>
      <c r="B72" s="27"/>
      <c r="C72" s="28"/>
      <c r="D72" s="30">
        <v>2.85</v>
      </c>
      <c r="E72" s="30">
        <v>2.8</v>
      </c>
      <c r="F72" s="62"/>
      <c r="G72" s="35">
        <f>SUM(D72,E72,F72)</f>
        <v>5.65</v>
      </c>
      <c r="H72" s="38">
        <f>AVERAGE(D72,E72,F72)</f>
        <v>2.825</v>
      </c>
      <c r="I72" s="24"/>
      <c r="J72" s="73">
        <v>10.0</v>
      </c>
      <c r="K72" s="40"/>
      <c r="L72" s="42">
        <f>H72*J72</f>
        <v>28.25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15">
        <f>A71+1</f>
        <v>34</v>
      </c>
      <c r="B73" s="17" t="s">
        <v>149</v>
      </c>
      <c r="C73" s="19"/>
      <c r="D73" s="44" t="s">
        <v>163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26"/>
      <c r="B74" s="27"/>
      <c r="C74" s="28"/>
      <c r="D74" s="30">
        <v>17.7</v>
      </c>
      <c r="E74" s="30">
        <v>12.3</v>
      </c>
      <c r="F74" s="62"/>
      <c r="G74" s="35">
        <f>SUM(D74,E74,F74)</f>
        <v>30</v>
      </c>
      <c r="H74" s="38">
        <f>AVERAGE(D74,E74,F74)</f>
        <v>15</v>
      </c>
      <c r="I74" s="24"/>
      <c r="J74" s="73">
        <v>2.0</v>
      </c>
      <c r="K74" s="40"/>
      <c r="L74" s="42">
        <f>H74*J74</f>
        <v>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26"/>
      <c r="B76" s="27"/>
      <c r="C76" s="28"/>
      <c r="D76" s="30">
        <v>4.2</v>
      </c>
      <c r="E76" s="30">
        <v>6.2</v>
      </c>
      <c r="F76" s="62"/>
      <c r="G76" s="35">
        <f>SUM(D76,E76,F76)</f>
        <v>10.4</v>
      </c>
      <c r="H76" s="38">
        <f>AVERAGE(D76,E76,F76)</f>
        <v>5.2</v>
      </c>
      <c r="I76" s="64"/>
      <c r="J76" s="73">
        <v>1.0</v>
      </c>
      <c r="K76" s="40"/>
      <c r="L76" s="42">
        <f>H76*J76</f>
        <v>5.2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34.22833333</v>
      </c>
      <c r="I77" s="64"/>
      <c r="J77" s="69" t="s">
        <v>9</v>
      </c>
      <c r="K77" s="28"/>
      <c r="L77" s="70">
        <f>SUM(L68:L76)</f>
        <v>91.24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437.485</v>
      </c>
      <c r="I80" s="6"/>
      <c r="J80" s="24"/>
      <c r="K80" s="81" t="s">
        <v>9</v>
      </c>
      <c r="L80" s="70">
        <f>L55+L65+L77</f>
        <v>915.7935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</row>
    <row r="2">
      <c r="A2" s="8" t="s">
        <v>0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</row>
    <row r="4">
      <c r="A4" s="26"/>
      <c r="B4" s="27"/>
      <c r="C4" s="28"/>
      <c r="D4" s="30"/>
      <c r="E4" s="30"/>
      <c r="F4" s="30"/>
      <c r="G4" s="35">
        <f>SUM(D4,E4,F4)</f>
        <v>0</v>
      </c>
      <c r="H4" s="38" t="str">
        <f>AVERAGE(D4,E4,F4)</f>
        <v>#DIV/0!</v>
      </c>
      <c r="I4" s="24"/>
      <c r="J4" s="39">
        <v>0.6</v>
      </c>
      <c r="K4" s="40" t="s">
        <v>15</v>
      </c>
      <c r="L4" s="42" t="str">
        <f>H4*J4</f>
        <v>#DIV/0!</v>
      </c>
      <c r="M4" s="6"/>
      <c r="N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44" t="s">
        <v>18</v>
      </c>
      <c r="G5" s="23"/>
      <c r="H5" s="23"/>
      <c r="I5" s="24"/>
      <c r="J5" s="45"/>
      <c r="K5" s="47"/>
      <c r="L5" s="48"/>
      <c r="M5" s="6"/>
      <c r="N5" s="6"/>
    </row>
    <row r="6">
      <c r="A6" s="26"/>
      <c r="B6" s="27"/>
      <c r="C6" s="28"/>
      <c r="D6" s="30"/>
      <c r="E6" s="30"/>
      <c r="F6" s="30"/>
      <c r="G6" s="35">
        <f>SUM(D6,E6,F6)</f>
        <v>0</v>
      </c>
      <c r="H6" s="38" t="str">
        <f>AVERAGE(D6,E6,F6)</f>
        <v>#DIV/0!</v>
      </c>
      <c r="I6" s="24"/>
      <c r="J6" s="39">
        <v>4.0</v>
      </c>
      <c r="K6" s="40"/>
      <c r="L6" s="42" t="str">
        <f>H6*J6</f>
        <v>#DIV/0!</v>
      </c>
      <c r="M6" s="6"/>
      <c r="N6" s="6"/>
    </row>
    <row r="7">
      <c r="A7" s="15">
        <f>A5+1</f>
        <v>3</v>
      </c>
      <c r="B7" s="17" t="s">
        <v>23</v>
      </c>
      <c r="C7" s="19"/>
      <c r="D7" s="21" t="s">
        <v>24</v>
      </c>
      <c r="E7" s="21" t="s">
        <v>25</v>
      </c>
      <c r="F7" s="21" t="s">
        <v>26</v>
      </c>
      <c r="G7" s="23"/>
      <c r="H7" s="23"/>
      <c r="I7" s="24"/>
      <c r="J7" s="45"/>
      <c r="K7" s="47"/>
      <c r="L7" s="48"/>
      <c r="M7" s="6"/>
      <c r="N7" s="6"/>
    </row>
    <row r="8">
      <c r="A8" s="26"/>
      <c r="B8" s="27"/>
      <c r="C8" s="28"/>
      <c r="D8" s="30"/>
      <c r="E8" s="30"/>
      <c r="F8" s="30"/>
      <c r="G8" s="35">
        <f>SUM(D8,E8,F8)</f>
        <v>0</v>
      </c>
      <c r="H8" s="38" t="str">
        <f>AVERAGE(D8,E8,F8)</f>
        <v>#DIV/0!</v>
      </c>
      <c r="I8" s="24"/>
      <c r="J8" s="39">
        <v>0.6</v>
      </c>
      <c r="K8" s="40"/>
      <c r="L8" s="42" t="str">
        <f>H8*J8</f>
        <v>#DIV/0!</v>
      </c>
      <c r="M8" s="6"/>
      <c r="N8" s="6"/>
    </row>
    <row r="9">
      <c r="A9" s="15">
        <f>A7+1</f>
        <v>4</v>
      </c>
      <c r="B9" s="17" t="s">
        <v>28</v>
      </c>
      <c r="C9" s="19"/>
      <c r="D9" s="21" t="s">
        <v>29</v>
      </c>
      <c r="E9" s="21" t="s">
        <v>30</v>
      </c>
      <c r="F9" s="21" t="s">
        <v>31</v>
      </c>
      <c r="G9" s="23"/>
      <c r="H9" s="23"/>
      <c r="I9" s="24"/>
      <c r="J9" s="45"/>
      <c r="K9" s="47"/>
      <c r="L9" s="48"/>
      <c r="M9" s="6"/>
      <c r="N9" s="6"/>
    </row>
    <row r="10">
      <c r="A10" s="26"/>
      <c r="B10" s="27"/>
      <c r="C10" s="28"/>
      <c r="D10" s="30"/>
      <c r="E10" s="30"/>
      <c r="F10" s="30"/>
      <c r="G10" s="35">
        <f>SUM(D10,E10,F10)</f>
        <v>0</v>
      </c>
      <c r="H10" s="38" t="str">
        <f>AVERAGE(D10,E10,F10)</f>
        <v>#DIV/0!</v>
      </c>
      <c r="I10" s="24"/>
      <c r="J10" s="39">
        <v>1.2</v>
      </c>
      <c r="K10" s="40"/>
      <c r="L10" s="42" t="str">
        <f>H10*J10</f>
        <v>#DIV/0!</v>
      </c>
      <c r="M10" s="6"/>
      <c r="N10" s="6"/>
    </row>
    <row r="11">
      <c r="A11" s="15">
        <f>A9+1</f>
        <v>5</v>
      </c>
      <c r="B11" s="17" t="s">
        <v>34</v>
      </c>
      <c r="C11" s="19"/>
      <c r="D11" s="44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</row>
    <row r="12">
      <c r="A12" s="26"/>
      <c r="B12" s="27"/>
      <c r="C12" s="28"/>
      <c r="D12" s="30"/>
      <c r="E12" s="30"/>
      <c r="F12" s="30"/>
      <c r="G12" s="35">
        <f>SUM(D12,E12,F12)</f>
        <v>0</v>
      </c>
      <c r="H12" s="38" t="str">
        <f>AVERAGE(D12,E12,F12)</f>
        <v>#DIV/0!</v>
      </c>
      <c r="I12" s="24"/>
      <c r="J12" s="39">
        <v>0.0</v>
      </c>
      <c r="K12" s="40"/>
      <c r="L12" s="42" t="str">
        <f>H12*J12</f>
        <v>#DIV/0!</v>
      </c>
      <c r="M12" s="6"/>
      <c r="N12" s="6"/>
    </row>
    <row r="13">
      <c r="A13" s="15">
        <f>A11+1</f>
        <v>6</v>
      </c>
      <c r="B13" s="17" t="s">
        <v>38</v>
      </c>
      <c r="C13" s="19"/>
      <c r="D13" s="21" t="s">
        <v>39</v>
      </c>
      <c r="E13" s="21" t="s">
        <v>40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</row>
    <row r="14">
      <c r="A14" s="26"/>
      <c r="B14" s="27"/>
      <c r="C14" s="28"/>
      <c r="D14" s="30"/>
      <c r="E14" s="30"/>
      <c r="F14" s="30"/>
      <c r="G14" s="35">
        <f>SUM(D14,E14,F14)</f>
        <v>0</v>
      </c>
      <c r="H14" s="38" t="str">
        <f>AVERAGE(D14,E14,F14)</f>
        <v>#DIV/0!</v>
      </c>
      <c r="I14" s="24"/>
      <c r="J14" s="39">
        <v>1.0</v>
      </c>
      <c r="K14" s="40"/>
      <c r="L14" s="42" t="str">
        <f>H14*J14</f>
        <v>#DIV/0!</v>
      </c>
      <c r="M14" s="6"/>
      <c r="N14" s="6"/>
    </row>
    <row r="15">
      <c r="A15" s="15">
        <f>A13+1</f>
        <v>7</v>
      </c>
      <c r="B15" s="17" t="s">
        <v>43</v>
      </c>
      <c r="C15" s="19"/>
      <c r="D15" s="44" t="s">
        <v>45</v>
      </c>
      <c r="E15" s="21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</row>
    <row r="16">
      <c r="A16" s="26"/>
      <c r="B16" s="27"/>
      <c r="C16" s="28"/>
      <c r="D16" s="30"/>
      <c r="E16" s="62"/>
      <c r="F16" s="62"/>
      <c r="G16" s="35">
        <f>SUM(D16,E16,F16)</f>
        <v>0</v>
      </c>
      <c r="H16" s="38" t="str">
        <f>AVERAGE(D16,E16,F16)</f>
        <v>#DIV/0!</v>
      </c>
      <c r="I16" s="24"/>
      <c r="J16" s="39">
        <v>6.0</v>
      </c>
      <c r="K16" s="40"/>
      <c r="L16" s="42" t="str">
        <f>H16*J16</f>
        <v>#DIV/0!</v>
      </c>
      <c r="M16" s="6"/>
      <c r="N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</row>
    <row r="18">
      <c r="A18" s="26"/>
      <c r="B18" s="27"/>
      <c r="C18" s="28"/>
      <c r="D18" s="30"/>
      <c r="E18" s="62"/>
      <c r="F18" s="62"/>
      <c r="G18" s="35">
        <f>SUM(D18,E18,F18)</f>
        <v>0</v>
      </c>
      <c r="H18" s="38" t="str">
        <f>AVERAGE(D18,E18,F18)</f>
        <v>#DIV/0!</v>
      </c>
      <c r="I18" s="24"/>
      <c r="J18" s="39">
        <v>0.0</v>
      </c>
      <c r="K18" s="40"/>
      <c r="L18" s="42" t="str">
        <f>H18*J18</f>
        <v>#DIV/0!</v>
      </c>
      <c r="M18" s="6"/>
      <c r="N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</row>
    <row r="20">
      <c r="A20" s="26"/>
      <c r="B20" s="27"/>
      <c r="C20" s="28"/>
      <c r="D20" s="30"/>
      <c r="E20" s="62"/>
      <c r="F20" s="62"/>
      <c r="G20" s="35">
        <f>SUM(D20,E20,F20)</f>
        <v>0</v>
      </c>
      <c r="H20" s="38" t="str">
        <f>AVERAGE(D20,E20,F20)</f>
        <v>#DIV/0!</v>
      </c>
      <c r="I20" s="24"/>
      <c r="J20" s="39">
        <v>9.0</v>
      </c>
      <c r="K20" s="40"/>
      <c r="L20" s="42" t="str">
        <f>H20*J20</f>
        <v>#DIV/0!</v>
      </c>
      <c r="M20" s="6"/>
      <c r="N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</row>
    <row r="22">
      <c r="A22" s="26"/>
      <c r="B22" s="27"/>
      <c r="C22" s="28"/>
      <c r="D22" s="30"/>
      <c r="E22" s="62"/>
      <c r="F22" s="62"/>
      <c r="G22" s="35">
        <f>SUM(D22,E22,F22)</f>
        <v>0</v>
      </c>
      <c r="H22" s="38" t="str">
        <f>AVERAGE(D22,E22,F22)</f>
        <v>#DIV/0!</v>
      </c>
      <c r="I22" s="24"/>
      <c r="J22" s="39">
        <v>0.0</v>
      </c>
      <c r="K22" s="40"/>
      <c r="L22" s="42" t="str">
        <f>H22*J22</f>
        <v>#DIV/0!</v>
      </c>
      <c r="M22" s="6"/>
      <c r="N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</row>
    <row r="24">
      <c r="A24" s="26"/>
      <c r="B24" s="27"/>
      <c r="C24" s="28"/>
      <c r="D24" s="30"/>
      <c r="E24" s="30"/>
      <c r="F24" s="62"/>
      <c r="G24" s="35">
        <f>SUM(D24,E24,F24)</f>
        <v>0</v>
      </c>
      <c r="H24" s="38" t="str">
        <f>AVERAGE(D24,E24,F24)</f>
        <v>#DIV/0!</v>
      </c>
      <c r="I24" s="24"/>
      <c r="J24" s="39">
        <v>0.0</v>
      </c>
      <c r="K24" s="40"/>
      <c r="L24" s="42" t="str">
        <f>H24*J24</f>
        <v>#DIV/0!</v>
      </c>
      <c r="M24" s="6"/>
      <c r="N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</row>
    <row r="26">
      <c r="A26" s="26"/>
      <c r="B26" s="27"/>
      <c r="C26" s="28"/>
      <c r="D26" s="30"/>
      <c r="E26" s="30"/>
      <c r="F26" s="30"/>
      <c r="G26" s="35">
        <f>SUM(D26,E26,F26)</f>
        <v>0</v>
      </c>
      <c r="H26" s="38" t="str">
        <f>AVERAGE(D26,E26,F26)</f>
        <v>#DIV/0!</v>
      </c>
      <c r="I26" s="24"/>
      <c r="J26" s="39">
        <v>3.0</v>
      </c>
      <c r="K26" s="40"/>
      <c r="L26" s="42" t="str">
        <f>H26*J26</f>
        <v>#DIV/0!</v>
      </c>
      <c r="M26" s="6"/>
      <c r="N26" s="6"/>
    </row>
    <row r="27">
      <c r="A27" s="15">
        <f>A25+1</f>
        <v>13</v>
      </c>
      <c r="B27" s="17" t="s">
        <v>64</v>
      </c>
      <c r="C27" s="19"/>
      <c r="D27" s="21" t="s">
        <v>65</v>
      </c>
      <c r="E27" s="21" t="s">
        <v>66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</row>
    <row r="28">
      <c r="A28" s="26"/>
      <c r="B28" s="27"/>
      <c r="C28" s="28"/>
      <c r="D28" s="30"/>
      <c r="E28" s="30"/>
      <c r="F28" s="30"/>
      <c r="G28" s="35">
        <f>SUM(D28,E28,F28)</f>
        <v>0</v>
      </c>
      <c r="H28" s="38" t="str">
        <f>AVERAGE(D28,E28,F28)</f>
        <v>#DIV/0!</v>
      </c>
      <c r="I28" s="24"/>
      <c r="J28" s="39">
        <v>0.0</v>
      </c>
      <c r="K28" s="40"/>
      <c r="L28" s="42" t="str">
        <f>H28*J28</f>
        <v>#DIV/0!</v>
      </c>
      <c r="M28" s="6"/>
      <c r="N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</row>
    <row r="30">
      <c r="A30" s="26"/>
      <c r="B30" s="27"/>
      <c r="C30" s="28"/>
      <c r="D30" s="30"/>
      <c r="E30" s="62"/>
      <c r="F30" s="62"/>
      <c r="G30" s="35">
        <f>SUM(D30,E30,F30)</f>
        <v>0</v>
      </c>
      <c r="H30" s="38" t="str">
        <f>AVERAGE(D30,E30,F30)</f>
        <v>#DIV/0!</v>
      </c>
      <c r="I30" s="24"/>
      <c r="J30" s="39">
        <v>6.0</v>
      </c>
      <c r="K30" s="40"/>
      <c r="L30" s="42" t="str">
        <f>H30*J30</f>
        <v>#DIV/0!</v>
      </c>
      <c r="M30" s="6"/>
      <c r="N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</row>
    <row r="32">
      <c r="A32" s="26"/>
      <c r="B32" s="27"/>
      <c r="C32" s="28"/>
      <c r="D32" s="30"/>
      <c r="E32" s="30"/>
      <c r="F32" s="62"/>
      <c r="G32" s="35">
        <f>SUM(D32,E32,F32)</f>
        <v>0</v>
      </c>
      <c r="H32" s="38" t="str">
        <f>AVERAGE(D32,E32,F32)</f>
        <v>#DIV/0!</v>
      </c>
      <c r="I32" s="24"/>
      <c r="J32" s="39">
        <v>7.5</v>
      </c>
      <c r="K32" s="40"/>
      <c r="L32" s="42" t="str">
        <f>H32*J32</f>
        <v>#DIV/0!</v>
      </c>
      <c r="M32" s="6"/>
      <c r="N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21" t="s">
        <v>77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</row>
    <row r="34">
      <c r="A34" s="26"/>
      <c r="B34" s="27"/>
      <c r="C34" s="28"/>
      <c r="D34" s="30"/>
      <c r="E34" s="30"/>
      <c r="F34" s="30"/>
      <c r="G34" s="35">
        <f>SUM(D34,E34,F34)</f>
        <v>0</v>
      </c>
      <c r="H34" s="38" t="str">
        <f>AVERAGE(D34,E34,F34)</f>
        <v>#DIV/0!</v>
      </c>
      <c r="I34" s="24"/>
      <c r="J34" s="39">
        <v>0.83</v>
      </c>
      <c r="K34" s="40"/>
      <c r="L34" s="42" t="str">
        <f>H34*J34</f>
        <v>#DIV/0!</v>
      </c>
      <c r="M34" s="6"/>
      <c r="N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21" t="s">
        <v>81</v>
      </c>
      <c r="F35" s="21" t="s">
        <v>82</v>
      </c>
      <c r="G35" s="23"/>
      <c r="H35" s="23"/>
      <c r="I35" s="24"/>
      <c r="J35" s="45"/>
      <c r="K35" s="47"/>
      <c r="L35" s="48"/>
      <c r="M35" s="6"/>
      <c r="N35" s="6"/>
    </row>
    <row r="36">
      <c r="A36" s="26"/>
      <c r="B36" s="27"/>
      <c r="C36" s="28"/>
      <c r="D36" s="30"/>
      <c r="E36" s="30"/>
      <c r="F36" s="30"/>
      <c r="G36" s="35">
        <f>SUM(D36,E36,F36)</f>
        <v>0</v>
      </c>
      <c r="H36" s="38" t="str">
        <f>AVERAGE(D36,E36,F36)</f>
        <v>#DIV/0!</v>
      </c>
      <c r="I36" s="24"/>
      <c r="J36" s="39">
        <v>7.5</v>
      </c>
      <c r="K36" s="40"/>
      <c r="L36" s="42" t="str">
        <f>H36*J36</f>
        <v>#DIV/0!</v>
      </c>
      <c r="M36" s="6"/>
      <c r="N36" s="6"/>
    </row>
    <row r="37">
      <c r="A37" s="15">
        <f>A35+1</f>
        <v>18</v>
      </c>
      <c r="B37" s="17" t="s">
        <v>83</v>
      </c>
      <c r="C37" s="19"/>
      <c r="D37" s="44" t="s">
        <v>80</v>
      </c>
      <c r="E37" s="44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</row>
    <row r="38">
      <c r="A38" s="26"/>
      <c r="B38" s="27"/>
      <c r="C38" s="28"/>
      <c r="D38" s="30"/>
      <c r="E38" s="30"/>
      <c r="F38" s="30"/>
      <c r="G38" s="35">
        <f>SUM(D38,E38,F38)</f>
        <v>0</v>
      </c>
      <c r="H38" s="38" t="str">
        <f>AVERAGE(D38,E38,F38)</f>
        <v>#DIV/0!</v>
      </c>
      <c r="I38" s="24"/>
      <c r="J38" s="39">
        <v>0.0</v>
      </c>
      <c r="K38" s="40"/>
      <c r="L38" s="42" t="str">
        <f>H38*J38</f>
        <v>#DIV/0!</v>
      </c>
      <c r="M38" s="6"/>
      <c r="N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21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</row>
    <row r="40">
      <c r="A40" s="26"/>
      <c r="B40" s="27"/>
      <c r="C40" s="28"/>
      <c r="D40" s="30"/>
      <c r="E40" s="30"/>
      <c r="F40" s="30"/>
      <c r="G40" s="35">
        <f>SUM(D40,E40,F40)</f>
        <v>0</v>
      </c>
      <c r="H40" s="38" t="str">
        <f>AVERAGE(D40,E40,F40)</f>
        <v>#DIV/0!</v>
      </c>
      <c r="I40" s="24"/>
      <c r="J40" s="39">
        <v>0.0</v>
      </c>
      <c r="K40" s="40"/>
      <c r="L40" s="42" t="str">
        <f>H40*J40</f>
        <v>#DIV/0!</v>
      </c>
      <c r="M40" s="6"/>
      <c r="N40" s="6"/>
    </row>
    <row r="41">
      <c r="A41" s="15">
        <f>A39+1</f>
        <v>20</v>
      </c>
      <c r="B41" s="17" t="s">
        <v>88</v>
      </c>
      <c r="C41" s="19"/>
      <c r="D41" s="21" t="s">
        <v>89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</row>
    <row r="42">
      <c r="A42" s="26"/>
      <c r="B42" s="27"/>
      <c r="C42" s="28"/>
      <c r="D42" s="30"/>
      <c r="E42" s="30"/>
      <c r="F42" s="30"/>
      <c r="G42" s="35">
        <f>SUM(D42,E42,F42)</f>
        <v>0</v>
      </c>
      <c r="H42" s="38" t="str">
        <f>AVERAGE(D42,E42,F42)</f>
        <v>#DIV/0!</v>
      </c>
      <c r="I42" s="24"/>
      <c r="J42" s="39">
        <v>0.0</v>
      </c>
      <c r="K42" s="40"/>
      <c r="L42" s="42" t="str">
        <f>H42*J42</f>
        <v>#DIV/0!</v>
      </c>
      <c r="M42" s="6"/>
      <c r="N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</row>
    <row r="44">
      <c r="A44" s="26"/>
      <c r="B44" s="27"/>
      <c r="C44" s="28"/>
      <c r="D44" s="30"/>
      <c r="E44" s="30"/>
      <c r="F44" s="30"/>
      <c r="G44" s="35">
        <f>SUM(D44,E44,F44)</f>
        <v>0</v>
      </c>
      <c r="H44" s="38" t="str">
        <f>AVERAGE(D44,E44,F44)</f>
        <v>#DIV/0!</v>
      </c>
      <c r="I44" s="24"/>
      <c r="J44" s="39">
        <v>3.0</v>
      </c>
      <c r="K44" s="40"/>
      <c r="L44" s="42" t="str">
        <f>H44*J44</f>
        <v>#DIV/0!</v>
      </c>
      <c r="M44" s="6"/>
      <c r="N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</row>
    <row r="46">
      <c r="A46" s="26"/>
      <c r="B46" s="27"/>
      <c r="C46" s="28"/>
      <c r="D46" s="30"/>
      <c r="E46" s="30"/>
      <c r="F46" s="30"/>
      <c r="G46" s="35">
        <f>SUM(D46,E46,F46)</f>
        <v>0</v>
      </c>
      <c r="H46" s="38" t="str">
        <f>AVERAGE(D46,E46,F46)</f>
        <v>#DIV/0!</v>
      </c>
      <c r="I46" s="24"/>
      <c r="J46" s="39">
        <v>3.0</v>
      </c>
      <c r="K46" s="40"/>
      <c r="L46" s="42" t="str">
        <f>H46*J46</f>
        <v>#DIV/0!</v>
      </c>
      <c r="M46" s="6"/>
      <c r="N46" s="6"/>
    </row>
    <row r="47">
      <c r="A47" s="15">
        <f>A45+1</f>
        <v>23</v>
      </c>
      <c r="B47" s="17" t="s">
        <v>104</v>
      </c>
      <c r="C47" s="19"/>
      <c r="D47" s="44" t="s">
        <v>105</v>
      </c>
      <c r="E47" s="21" t="s">
        <v>106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</row>
    <row r="48">
      <c r="A48" s="26"/>
      <c r="B48" s="27"/>
      <c r="C48" s="28"/>
      <c r="D48" s="30"/>
      <c r="E48" s="30"/>
      <c r="F48" s="62"/>
      <c r="G48" s="35">
        <f>SUM(D48,E48,F48)</f>
        <v>0</v>
      </c>
      <c r="H48" s="38" t="str">
        <f>AVERAGE(D48,E48,F48)</f>
        <v>#DIV/0!</v>
      </c>
      <c r="I48" s="24"/>
      <c r="J48" s="39">
        <v>0.0</v>
      </c>
      <c r="K48" s="40"/>
      <c r="L48" s="42" t="str">
        <f>H48*J48</f>
        <v>#DIV/0!</v>
      </c>
      <c r="M48" s="6"/>
      <c r="N48" s="6"/>
    </row>
    <row r="49">
      <c r="A49" s="15">
        <f>A47+1</f>
        <v>24</v>
      </c>
      <c r="B49" s="17" t="s">
        <v>108</v>
      </c>
      <c r="C49" s="19"/>
      <c r="D49" s="21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</row>
    <row r="50">
      <c r="A50" s="26"/>
      <c r="B50" s="27"/>
      <c r="C50" s="28"/>
      <c r="D50" s="30"/>
      <c r="E50" s="30"/>
      <c r="F50" s="30"/>
      <c r="G50" s="35">
        <f>SUM(D50,E50,F50)</f>
        <v>0</v>
      </c>
      <c r="H50" s="38" t="str">
        <f>AVERAGE(D50,E50,F50)</f>
        <v>#DIV/0!</v>
      </c>
      <c r="I50" s="24"/>
      <c r="J50" s="39">
        <v>0.0</v>
      </c>
      <c r="K50" s="40"/>
      <c r="L50" s="42" t="str">
        <f>H50*J50</f>
        <v>#DIV/0!</v>
      </c>
      <c r="M50" s="6"/>
      <c r="N50" s="6"/>
    </row>
    <row r="51">
      <c r="A51" s="15">
        <f>A49+1</f>
        <v>25</v>
      </c>
      <c r="B51" s="17" t="s">
        <v>110</v>
      </c>
      <c r="C51" s="19"/>
      <c r="D51" s="21" t="s">
        <v>105</v>
      </c>
      <c r="E51" s="21" t="s">
        <v>106</v>
      </c>
      <c r="F51" s="21" t="s">
        <v>111</v>
      </c>
      <c r="G51" s="23"/>
      <c r="H51" s="23"/>
      <c r="I51" s="24"/>
      <c r="J51" s="45"/>
      <c r="K51" s="47"/>
      <c r="L51" s="48"/>
      <c r="M51" s="6"/>
      <c r="N51" s="6"/>
    </row>
    <row r="52">
      <c r="A52" s="26"/>
      <c r="B52" s="27"/>
      <c r="C52" s="28"/>
      <c r="D52" s="30"/>
      <c r="E52" s="30"/>
      <c r="F52" s="30"/>
      <c r="G52" s="35">
        <f>SUM(D52,E52,F52)</f>
        <v>0</v>
      </c>
      <c r="H52" s="38" t="str">
        <f>AVERAGE(D52,E52,F52)</f>
        <v>#DIV/0!</v>
      </c>
      <c r="I52" s="24"/>
      <c r="J52" s="39">
        <v>0.0</v>
      </c>
      <c r="K52" s="40"/>
      <c r="L52" s="42" t="str">
        <f>H52*J52</f>
        <v>#DIV/0!</v>
      </c>
      <c r="M52" s="6"/>
      <c r="N52" s="6"/>
    </row>
    <row r="53">
      <c r="A53" s="15">
        <f>A51+1</f>
        <v>26</v>
      </c>
      <c r="B53" s="17" t="s">
        <v>112</v>
      </c>
      <c r="C53" s="19"/>
      <c r="D53" s="21" t="s">
        <v>113</v>
      </c>
      <c r="E53" s="21" t="s">
        <v>66</v>
      </c>
      <c r="F53" s="44" t="s">
        <v>114</v>
      </c>
      <c r="G53" s="23"/>
      <c r="H53" s="23"/>
      <c r="I53" s="24"/>
      <c r="J53" s="45"/>
      <c r="K53" s="47"/>
      <c r="L53" s="48"/>
      <c r="M53" s="6"/>
      <c r="N53" s="6"/>
    </row>
    <row r="54">
      <c r="A54" s="26"/>
      <c r="B54" s="27"/>
      <c r="C54" s="28"/>
      <c r="D54" s="30"/>
      <c r="E54" s="30"/>
      <c r="F54" s="30"/>
      <c r="G54" s="35">
        <f>SUM(D54,E54,F54)</f>
        <v>0</v>
      </c>
      <c r="H54" s="38" t="str">
        <f>AVERAGE(D54,E54,F54)</f>
        <v>#DIV/0!</v>
      </c>
      <c r="I54" s="64"/>
      <c r="J54" s="65">
        <v>0.0</v>
      </c>
      <c r="K54" s="64"/>
      <c r="L54" s="42" t="str">
        <f>H54*J54</f>
        <v>#DIV/0!</v>
      </c>
      <c r="M54" s="6"/>
      <c r="N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 t="str">
        <f>SUM(H4:H54)</f>
        <v>#DIV/0!</v>
      </c>
      <c r="I55" s="64"/>
      <c r="J55" s="69" t="s">
        <v>9</v>
      </c>
      <c r="K55" s="28"/>
      <c r="L55" s="70" t="str">
        <f>SUM(L4:L54)</f>
        <v>#DIV/0!</v>
      </c>
      <c r="M55" s="6"/>
      <c r="N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</row>
    <row r="58">
      <c r="A58" s="26"/>
      <c r="B58" s="27"/>
      <c r="C58" s="28"/>
      <c r="D58" s="30"/>
      <c r="E58" s="30"/>
      <c r="F58" s="72"/>
      <c r="G58" s="35">
        <f>SUM(D58,E58,F58)</f>
        <v>0</v>
      </c>
      <c r="H58" s="38" t="str">
        <f>AVERAGE(D58,E58,F58)</f>
        <v>#DIV/0!</v>
      </c>
      <c r="I58" s="24"/>
      <c r="J58" s="73">
        <v>4.0</v>
      </c>
      <c r="K58" s="40"/>
      <c r="L58" s="42" t="str">
        <f>H58*J58</f>
        <v>#DIV/0!</v>
      </c>
      <c r="M58" s="6"/>
      <c r="N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</row>
    <row r="60">
      <c r="A60" s="26"/>
      <c r="B60" s="27"/>
      <c r="C60" s="28"/>
      <c r="D60" s="30"/>
      <c r="E60" s="30"/>
      <c r="F60" s="62"/>
      <c r="G60" s="35">
        <f>SUM(D60,E60,F60)</f>
        <v>0</v>
      </c>
      <c r="H60" s="38" t="str">
        <f>AVERAGE(D60,E60,F60)</f>
        <v>#DIV/0!</v>
      </c>
      <c r="I60" s="24"/>
      <c r="J60" s="73">
        <v>15.0</v>
      </c>
      <c r="K60" s="40"/>
      <c r="L60" s="42" t="str">
        <f>H60*J60</f>
        <v>#DIV/0!</v>
      </c>
      <c r="M60" s="6"/>
      <c r="N60" s="6"/>
    </row>
    <row r="61">
      <c r="A61" s="15">
        <f>A59+1</f>
        <v>29</v>
      </c>
      <c r="B61" s="17" t="s">
        <v>127</v>
      </c>
      <c r="C61" s="19"/>
      <c r="D61" s="21" t="s">
        <v>123</v>
      </c>
      <c r="E61" s="21" t="s">
        <v>128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</row>
    <row r="62">
      <c r="A62" s="26"/>
      <c r="B62" s="27"/>
      <c r="C62" s="28"/>
      <c r="D62" s="30"/>
      <c r="E62" s="30"/>
      <c r="F62" s="30"/>
      <c r="G62" s="35">
        <f>SUM(D62,E62,F62)</f>
        <v>0</v>
      </c>
      <c r="H62" s="38" t="str">
        <f>AVERAGE(D62,E62,F62)</f>
        <v>#DIV/0!</v>
      </c>
      <c r="I62" s="24"/>
      <c r="J62" s="73">
        <v>2.0</v>
      </c>
      <c r="K62" s="40"/>
      <c r="L62" s="42" t="str">
        <f>H62*J62</f>
        <v>#DIV/0!</v>
      </c>
      <c r="M62" s="6"/>
      <c r="N62" s="6"/>
    </row>
    <row r="63">
      <c r="A63" s="15">
        <f>A61+1</f>
        <v>30</v>
      </c>
      <c r="B63" s="17" t="s">
        <v>131</v>
      </c>
      <c r="C63" s="19"/>
      <c r="D63" s="21" t="s">
        <v>123</v>
      </c>
      <c r="E63" s="21" t="s">
        <v>124</v>
      </c>
      <c r="F63" s="21" t="s">
        <v>132</v>
      </c>
      <c r="G63" s="23"/>
      <c r="H63" s="23"/>
      <c r="I63" s="24"/>
      <c r="J63" s="47"/>
      <c r="K63" s="27"/>
      <c r="L63" s="67"/>
      <c r="M63" s="6"/>
      <c r="N63" s="6"/>
    </row>
    <row r="64">
      <c r="A64" s="26"/>
      <c r="B64" s="27"/>
      <c r="C64" s="28"/>
      <c r="D64" s="30"/>
      <c r="E64" s="30"/>
      <c r="F64" s="30"/>
      <c r="G64" s="35">
        <f>SUM(D64,E64,F64)</f>
        <v>0</v>
      </c>
      <c r="H64" s="38" t="str">
        <f>AVERAGE(D64,E64,F64)</f>
        <v>#DIV/0!</v>
      </c>
      <c r="I64" s="64"/>
      <c r="J64" s="73">
        <v>2.0</v>
      </c>
      <c r="K64" s="40"/>
      <c r="L64" s="42" t="str">
        <f>H64*J64</f>
        <v>#DIV/0!</v>
      </c>
      <c r="M64" s="6"/>
      <c r="N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 t="str">
        <f>SUM(H57:H64)</f>
        <v>#DIV/0!</v>
      </c>
      <c r="I65" s="64"/>
      <c r="J65" s="69" t="s">
        <v>9</v>
      </c>
      <c r="K65" s="28"/>
      <c r="L65" s="70" t="str">
        <f>SUM(L57:L64)</f>
        <v>#DIV/0!</v>
      </c>
      <c r="M65" s="6"/>
      <c r="N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</row>
    <row r="67">
      <c r="A67" s="15">
        <f>A63+1</f>
        <v>31</v>
      </c>
      <c r="B67" s="17" t="s">
        <v>136</v>
      </c>
      <c r="C67" s="19"/>
      <c r="D67" s="21" t="s">
        <v>137</v>
      </c>
      <c r="E67" s="21" t="s">
        <v>138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</row>
    <row r="68">
      <c r="A68" s="26"/>
      <c r="B68" s="27"/>
      <c r="C68" s="28"/>
      <c r="D68" s="30"/>
      <c r="E68" s="30"/>
      <c r="F68" s="30"/>
      <c r="G68" s="35">
        <f>SUM(D68,E68,F68)</f>
        <v>0</v>
      </c>
      <c r="H68" s="38" t="str">
        <f>AVERAGE(D68,E68,F68)</f>
        <v>#DIV/0!</v>
      </c>
      <c r="I68" s="24"/>
      <c r="J68" s="73">
        <v>3.0</v>
      </c>
      <c r="K68" s="40"/>
      <c r="L68" s="42" t="str">
        <f>H68*J68</f>
        <v>#DIV/0!</v>
      </c>
      <c r="M68" s="6"/>
      <c r="N68" s="6"/>
    </row>
    <row r="69">
      <c r="A69" s="15">
        <f>A67+1</f>
        <v>32</v>
      </c>
      <c r="B69" s="17" t="s">
        <v>140</v>
      </c>
      <c r="C69" s="19"/>
      <c r="D69" s="21" t="s">
        <v>141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</row>
    <row r="70">
      <c r="A70" s="26"/>
      <c r="B70" s="27"/>
      <c r="C70" s="28"/>
      <c r="D70" s="30"/>
      <c r="E70" s="30"/>
      <c r="F70" s="62"/>
      <c r="G70" s="35">
        <f>SUM(D70,E70,F70)</f>
        <v>0</v>
      </c>
      <c r="H70" s="38" t="str">
        <f>AVERAGE(D70,E70,F70)</f>
        <v>#DIV/0!</v>
      </c>
      <c r="I70" s="24"/>
      <c r="J70" s="73">
        <v>2.0</v>
      </c>
      <c r="K70" s="40"/>
      <c r="L70" s="42" t="str">
        <f>H70*J70</f>
        <v>#DIV/0!</v>
      </c>
      <c r="M70" s="6"/>
      <c r="N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</row>
    <row r="72">
      <c r="A72" s="26"/>
      <c r="B72" s="27"/>
      <c r="C72" s="28"/>
      <c r="D72" s="30"/>
      <c r="E72" s="30"/>
      <c r="F72" s="62"/>
      <c r="G72" s="35">
        <f>SUM(D72,E72,F72)</f>
        <v>0</v>
      </c>
      <c r="H72" s="38" t="str">
        <f>AVERAGE(D72,E72,F72)</f>
        <v>#DIV/0!</v>
      </c>
      <c r="I72" s="24"/>
      <c r="J72" s="73">
        <v>10.0</v>
      </c>
      <c r="K72" s="40"/>
      <c r="L72" s="42" t="str">
        <f>H72*J72</f>
        <v>#DIV/0!</v>
      </c>
      <c r="M72" s="6"/>
      <c r="N72" s="6"/>
    </row>
    <row r="73">
      <c r="A73" s="15">
        <f>A71+1</f>
        <v>34</v>
      </c>
      <c r="B73" s="17" t="s">
        <v>149</v>
      </c>
      <c r="C73" s="19"/>
      <c r="D73" s="44" t="s">
        <v>150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</row>
    <row r="74">
      <c r="A74" s="26"/>
      <c r="B74" s="27"/>
      <c r="C74" s="28"/>
      <c r="D74" s="30"/>
      <c r="E74" s="30"/>
      <c r="F74" s="62"/>
      <c r="G74" s="35">
        <f>SUM(D74,E74,F74)</f>
        <v>0</v>
      </c>
      <c r="H74" s="38" t="str">
        <f>AVERAGE(D74,E74,F74)</f>
        <v>#DIV/0!</v>
      </c>
      <c r="I74" s="24"/>
      <c r="J74" s="73">
        <v>2.0</v>
      </c>
      <c r="K74" s="40"/>
      <c r="L74" s="42" t="str">
        <f>H74*J74</f>
        <v>#DIV/0!</v>
      </c>
      <c r="M74" s="6"/>
      <c r="N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</row>
    <row r="76">
      <c r="A76" s="26"/>
      <c r="B76" s="27"/>
      <c r="C76" s="28"/>
      <c r="D76" s="30"/>
      <c r="E76" s="30"/>
      <c r="F76" s="62"/>
      <c r="G76" s="35">
        <f>SUM(D76,E76,F76)</f>
        <v>0</v>
      </c>
      <c r="H76" s="38" t="str">
        <f>AVERAGE(D76,E76,F76)</f>
        <v>#DIV/0!</v>
      </c>
      <c r="I76" s="64"/>
      <c r="J76" s="73">
        <v>1.0</v>
      </c>
      <c r="K76" s="40"/>
      <c r="L76" s="42" t="str">
        <f>H76*J76</f>
        <v>#DIV/0!</v>
      </c>
      <c r="M76" s="6"/>
      <c r="N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 t="str">
        <f>SUM(H68:H76)</f>
        <v>#DIV/0!</v>
      </c>
      <c r="I77" s="64"/>
      <c r="J77" s="69" t="s">
        <v>9</v>
      </c>
      <c r="K77" s="28"/>
      <c r="L77" s="70" t="str">
        <f>SUM(L68:L76)</f>
        <v>#DIV/0!</v>
      </c>
      <c r="M77" s="6"/>
      <c r="N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</row>
    <row r="80">
      <c r="A80" s="74"/>
      <c r="B80" s="6"/>
      <c r="C80" s="6"/>
      <c r="D80" s="6"/>
      <c r="E80" s="6"/>
      <c r="F80" s="24"/>
      <c r="G80" s="81" t="s">
        <v>9</v>
      </c>
      <c r="H80" s="68" t="str">
        <f>H55+H65+H77</f>
        <v>#DIV/0!</v>
      </c>
      <c r="I80" s="6"/>
      <c r="J80" s="24"/>
      <c r="K80" s="81" t="s">
        <v>9</v>
      </c>
      <c r="L80" s="70" t="str">
        <f>L55+L65+L77</f>
        <v>#DIV/0!</v>
      </c>
      <c r="M80" s="6"/>
      <c r="N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</row>
    <row r="83">
      <c r="A83" s="6"/>
      <c r="B83" s="6"/>
      <c r="C83" s="6"/>
      <c r="D83" s="6"/>
      <c r="E83" s="6"/>
      <c r="F83" s="6"/>
      <c r="G83" s="6"/>
      <c r="H83" s="75"/>
      <c r="I83" s="6"/>
      <c r="J83" s="6"/>
      <c r="K83" s="6"/>
      <c r="L83" s="75"/>
      <c r="M83" s="6"/>
      <c r="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  <c r="O1" s="6"/>
    </row>
    <row r="2">
      <c r="A2" s="8" t="s">
        <v>171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  <c r="O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</row>
    <row r="4">
      <c r="A4" s="26"/>
      <c r="B4" s="27"/>
      <c r="C4" s="28"/>
      <c r="D4" s="30">
        <v>16.98</v>
      </c>
      <c r="E4" s="30">
        <v>17.58</v>
      </c>
      <c r="F4" s="30">
        <v>20.39</v>
      </c>
      <c r="G4" s="35">
        <f>SUM(D4,E4,F4)</f>
        <v>54.95</v>
      </c>
      <c r="H4" s="38">
        <f>AVERAGE(D4,E4,F4)</f>
        <v>18.31666667</v>
      </c>
      <c r="I4" s="24"/>
      <c r="J4" s="39">
        <v>0.6</v>
      </c>
      <c r="K4" s="40" t="s">
        <v>15</v>
      </c>
      <c r="L4" s="42">
        <f>H4*J4</f>
        <v>10.99</v>
      </c>
      <c r="M4" s="6"/>
      <c r="N4" s="6"/>
      <c r="O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5"/>
      <c r="K5" s="47"/>
      <c r="L5" s="48"/>
      <c r="M5" s="6"/>
      <c r="N5" s="6"/>
      <c r="O5" s="6"/>
    </row>
    <row r="6">
      <c r="A6" s="26"/>
      <c r="B6" s="27"/>
      <c r="C6" s="28"/>
      <c r="D6" s="30">
        <v>9.99</v>
      </c>
      <c r="E6" s="30">
        <v>8.99</v>
      </c>
      <c r="F6" s="30"/>
      <c r="G6" s="35">
        <f>SUM(D6,E6,F6)</f>
        <v>18.98</v>
      </c>
      <c r="H6" s="38">
        <f>AVERAGE(D6,E6,F6)</f>
        <v>9.49</v>
      </c>
      <c r="I6" s="24"/>
      <c r="J6" s="39">
        <v>4.0</v>
      </c>
      <c r="K6" s="40"/>
      <c r="L6" s="42">
        <f>H6*J6</f>
        <v>37.96</v>
      </c>
      <c r="M6" s="6"/>
      <c r="N6" s="6"/>
      <c r="O6" s="6"/>
    </row>
    <row r="7">
      <c r="A7" s="15">
        <f>A5+1</f>
        <v>3</v>
      </c>
      <c r="B7" s="17" t="s">
        <v>23</v>
      </c>
      <c r="C7" s="19"/>
      <c r="D7" s="44" t="s">
        <v>24</v>
      </c>
      <c r="E7" s="21" t="s">
        <v>25</v>
      </c>
      <c r="F7" s="21" t="s">
        <v>26</v>
      </c>
      <c r="G7" s="23"/>
      <c r="H7" s="23"/>
      <c r="I7" s="24"/>
      <c r="J7" s="45"/>
      <c r="K7" s="47"/>
      <c r="L7" s="48"/>
      <c r="M7" s="6"/>
      <c r="N7" s="6"/>
      <c r="O7" s="6"/>
    </row>
    <row r="8">
      <c r="A8" s="26"/>
      <c r="B8" s="27"/>
      <c r="C8" s="28"/>
      <c r="D8" s="30">
        <v>12.98</v>
      </c>
      <c r="E8" s="30"/>
      <c r="F8" s="30">
        <v>13.03</v>
      </c>
      <c r="G8" s="35">
        <f>SUM(D8,E8,F8)</f>
        <v>26.01</v>
      </c>
      <c r="H8" s="38">
        <f>AVERAGE(D8,E8,F8)</f>
        <v>13.005</v>
      </c>
      <c r="I8" s="24"/>
      <c r="J8" s="39">
        <v>0.6</v>
      </c>
      <c r="K8" s="40"/>
      <c r="L8" s="42">
        <f>H8*J8</f>
        <v>7.803</v>
      </c>
      <c r="M8" s="6"/>
      <c r="N8" s="6"/>
      <c r="O8" s="6"/>
    </row>
    <row r="9">
      <c r="A9" s="15">
        <f>A7+1</f>
        <v>4</v>
      </c>
      <c r="B9" s="17" t="s">
        <v>28</v>
      </c>
      <c r="C9" s="19"/>
      <c r="D9" s="44" t="s">
        <v>174</v>
      </c>
      <c r="E9" s="21" t="s">
        <v>30</v>
      </c>
      <c r="F9" s="44" t="s">
        <v>31</v>
      </c>
      <c r="G9" s="23"/>
      <c r="H9" s="23"/>
      <c r="I9" s="24"/>
      <c r="J9" s="45"/>
      <c r="K9" s="47"/>
      <c r="L9" s="48"/>
      <c r="M9" s="6"/>
      <c r="N9" s="6"/>
      <c r="O9" s="6"/>
    </row>
    <row r="10">
      <c r="A10" s="26"/>
      <c r="B10" s="27"/>
      <c r="C10" s="28"/>
      <c r="D10" s="30">
        <v>31.99</v>
      </c>
      <c r="E10" s="30">
        <v>25.99</v>
      </c>
      <c r="F10" s="30"/>
      <c r="G10" s="35">
        <f>SUM(D10,E10,F10)</f>
        <v>57.98</v>
      </c>
      <c r="H10" s="38">
        <f>AVERAGE(D10,E10,F10)</f>
        <v>28.99</v>
      </c>
      <c r="I10" s="24"/>
      <c r="J10" s="39">
        <v>1.2</v>
      </c>
      <c r="K10" s="40"/>
      <c r="L10" s="42">
        <f>H10*J10</f>
        <v>34.788</v>
      </c>
      <c r="M10" s="6"/>
      <c r="N10" s="6"/>
      <c r="O10" s="6"/>
    </row>
    <row r="11">
      <c r="A11" s="15">
        <f>A9+1</f>
        <v>5</v>
      </c>
      <c r="B11" s="17" t="s">
        <v>34</v>
      </c>
      <c r="C11" s="19"/>
      <c r="D11" s="21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  <c r="O11" s="6"/>
    </row>
    <row r="12">
      <c r="A12" s="26"/>
      <c r="B12" s="27"/>
      <c r="C12" s="28"/>
      <c r="D12" s="30">
        <v>4.59</v>
      </c>
      <c r="E12" s="30">
        <v>4.48</v>
      </c>
      <c r="F12" s="30">
        <v>5.75</v>
      </c>
      <c r="G12" s="35">
        <f>SUM(D12,E12,F12)</f>
        <v>14.82</v>
      </c>
      <c r="H12" s="38">
        <f>AVERAGE(D12,E12,F12)</f>
        <v>4.94</v>
      </c>
      <c r="I12" s="24"/>
      <c r="J12" s="39">
        <v>0.0</v>
      </c>
      <c r="K12" s="40"/>
      <c r="L12" s="42">
        <f>H12*J12</f>
        <v>0</v>
      </c>
      <c r="M12" s="6"/>
      <c r="N12" s="6"/>
      <c r="O12" s="6"/>
    </row>
    <row r="13">
      <c r="A13" s="15">
        <f>A11+1</f>
        <v>6</v>
      </c>
      <c r="B13" s="17" t="s">
        <v>38</v>
      </c>
      <c r="C13" s="19"/>
      <c r="D13" s="44" t="s">
        <v>39</v>
      </c>
      <c r="E13" s="44" t="s">
        <v>178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  <c r="O13" s="6"/>
    </row>
    <row r="14">
      <c r="A14" s="26"/>
      <c r="B14" s="27"/>
      <c r="C14" s="28"/>
      <c r="D14" s="30">
        <v>7.99</v>
      </c>
      <c r="E14" s="30">
        <v>7.99</v>
      </c>
      <c r="F14" s="30"/>
      <c r="G14" s="35">
        <f>SUM(D14,E14,F14)</f>
        <v>15.98</v>
      </c>
      <c r="H14" s="38">
        <f>AVERAGE(D14,E14,F14)</f>
        <v>7.99</v>
      </c>
      <c r="I14" s="24"/>
      <c r="J14" s="39">
        <v>1.0</v>
      </c>
      <c r="K14" s="40"/>
      <c r="L14" s="42">
        <f>H14*J14</f>
        <v>7.99</v>
      </c>
      <c r="M14" s="6"/>
      <c r="N14" s="6"/>
      <c r="O14" s="6"/>
    </row>
    <row r="15">
      <c r="A15" s="15">
        <f>A13+1</f>
        <v>7</v>
      </c>
      <c r="B15" s="17" t="s">
        <v>43</v>
      </c>
      <c r="C15" s="19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  <c r="O15" s="6"/>
    </row>
    <row r="16">
      <c r="A16" s="26"/>
      <c r="B16" s="27"/>
      <c r="C16" s="28"/>
      <c r="D16" s="30">
        <v>7.99</v>
      </c>
      <c r="E16" s="62"/>
      <c r="F16" s="62"/>
      <c r="G16" s="35">
        <f>SUM(D16,E16,F16)</f>
        <v>7.99</v>
      </c>
      <c r="H16" s="38">
        <f>AVERAGE(D16,E16,F16)</f>
        <v>7.99</v>
      </c>
      <c r="I16" s="24"/>
      <c r="J16" s="39">
        <v>6.0</v>
      </c>
      <c r="K16" s="40"/>
      <c r="L16" s="42">
        <f>H16*J16</f>
        <v>47.94</v>
      </c>
      <c r="M16" s="6"/>
      <c r="N16" s="6"/>
      <c r="O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  <c r="O17" s="6"/>
    </row>
    <row r="18">
      <c r="A18" s="26"/>
      <c r="B18" s="27"/>
      <c r="C18" s="28"/>
      <c r="D18" s="30">
        <v>4.69</v>
      </c>
      <c r="E18" s="62"/>
      <c r="F18" s="62"/>
      <c r="G18" s="35">
        <f>SUM(D18,E18,F18)</f>
        <v>4.69</v>
      </c>
      <c r="H18" s="38">
        <f>AVERAGE(D18,E18,F18)</f>
        <v>4.69</v>
      </c>
      <c r="I18" s="24"/>
      <c r="J18" s="39">
        <v>0.0</v>
      </c>
      <c r="K18" s="40"/>
      <c r="L18" s="42">
        <f>H18*J18</f>
        <v>0</v>
      </c>
      <c r="M18" s="6"/>
      <c r="N18" s="6"/>
      <c r="O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  <c r="O19" s="6"/>
    </row>
    <row r="20">
      <c r="A20" s="26"/>
      <c r="B20" s="27"/>
      <c r="C20" s="28"/>
      <c r="D20" s="30">
        <v>8.99</v>
      </c>
      <c r="E20" s="62"/>
      <c r="F20" s="62"/>
      <c r="G20" s="35">
        <f>SUM(D20,E20,F20)</f>
        <v>8.99</v>
      </c>
      <c r="H20" s="38">
        <f>AVERAGE(D20,E20,F20)</f>
        <v>8.99</v>
      </c>
      <c r="I20" s="24"/>
      <c r="J20" s="39">
        <v>9.0</v>
      </c>
      <c r="K20" s="40"/>
      <c r="L20" s="42">
        <f>H20*J20</f>
        <v>80.91</v>
      </c>
      <c r="M20" s="6"/>
      <c r="N20" s="6"/>
      <c r="O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  <c r="O21" s="6"/>
    </row>
    <row r="22">
      <c r="A22" s="26"/>
      <c r="B22" s="27"/>
      <c r="C22" s="28"/>
      <c r="D22" s="30">
        <v>16.98</v>
      </c>
      <c r="E22" s="62"/>
      <c r="F22" s="62"/>
      <c r="G22" s="35">
        <f>SUM(D22,E22,F22)</f>
        <v>16.98</v>
      </c>
      <c r="H22" s="38">
        <f>AVERAGE(D22,E22,F22)</f>
        <v>16.98</v>
      </c>
      <c r="I22" s="24"/>
      <c r="J22" s="39">
        <v>0.0</v>
      </c>
      <c r="K22" s="40"/>
      <c r="L22" s="42">
        <f>H22*J22</f>
        <v>0</v>
      </c>
      <c r="M22" s="6"/>
      <c r="N22" s="6"/>
      <c r="O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  <c r="O23" s="6"/>
    </row>
    <row r="24">
      <c r="A24" s="26"/>
      <c r="B24" s="27"/>
      <c r="C24" s="28"/>
      <c r="D24" s="30">
        <v>8.0</v>
      </c>
      <c r="E24" s="30"/>
      <c r="F24" s="62"/>
      <c r="G24" s="35">
        <f>SUM(D24,E24,F24)</f>
        <v>8</v>
      </c>
      <c r="H24" s="38">
        <f>AVERAGE(D24,E24,F24)</f>
        <v>8</v>
      </c>
      <c r="I24" s="24"/>
      <c r="J24" s="39">
        <v>0.0</v>
      </c>
      <c r="K24" s="40"/>
      <c r="L24" s="42">
        <f>H24*J24</f>
        <v>0</v>
      </c>
      <c r="M24" s="6"/>
      <c r="N24" s="6"/>
      <c r="O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  <c r="O25" s="6"/>
    </row>
    <row r="26">
      <c r="A26" s="26"/>
      <c r="B26" s="27"/>
      <c r="C26" s="28"/>
      <c r="D26" s="30">
        <v>5.39</v>
      </c>
      <c r="E26" s="30"/>
      <c r="F26" s="30">
        <v>7.59</v>
      </c>
      <c r="G26" s="35">
        <f>SUM(D26,E26,F26)</f>
        <v>12.98</v>
      </c>
      <c r="H26" s="38">
        <f>AVERAGE(D26,E26,F26)</f>
        <v>6.49</v>
      </c>
      <c r="I26" s="24"/>
      <c r="J26" s="39">
        <v>3.0</v>
      </c>
      <c r="K26" s="40"/>
      <c r="L26" s="42">
        <f>H26*J26</f>
        <v>19.47</v>
      </c>
      <c r="M26" s="6"/>
      <c r="N26" s="6"/>
      <c r="O26" s="6"/>
    </row>
    <row r="27">
      <c r="A27" s="15">
        <f>A25+1</f>
        <v>13</v>
      </c>
      <c r="B27" s="17" t="s">
        <v>64</v>
      </c>
      <c r="C27" s="19"/>
      <c r="D27" s="21" t="s">
        <v>65</v>
      </c>
      <c r="E27" s="44" t="s">
        <v>76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  <c r="O27" s="6"/>
    </row>
    <row r="28">
      <c r="A28" s="26"/>
      <c r="B28" s="27"/>
      <c r="C28" s="28"/>
      <c r="D28" s="30">
        <v>6.23</v>
      </c>
      <c r="E28" s="30">
        <v>2.79</v>
      </c>
      <c r="F28" s="30">
        <v>4.5</v>
      </c>
      <c r="G28" s="35">
        <f>SUM(D28,E28,F28)</f>
        <v>13.52</v>
      </c>
      <c r="H28" s="38">
        <f>AVERAGE(D28,E28,F28)</f>
        <v>4.506666667</v>
      </c>
      <c r="I28" s="24"/>
      <c r="J28" s="39">
        <v>0.0</v>
      </c>
      <c r="K28" s="40"/>
      <c r="L28" s="42">
        <f>H28*J28</f>
        <v>0</v>
      </c>
      <c r="M28" s="6"/>
      <c r="N28" s="6"/>
      <c r="O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  <c r="O29" s="6"/>
    </row>
    <row r="30">
      <c r="A30" s="26"/>
      <c r="B30" s="27"/>
      <c r="C30" s="28"/>
      <c r="D30" s="30">
        <v>14.99</v>
      </c>
      <c r="E30" s="62"/>
      <c r="F30" s="62"/>
      <c r="G30" s="35">
        <f>SUM(D30,E30,F30)</f>
        <v>14.99</v>
      </c>
      <c r="H30" s="38">
        <f>AVERAGE(D30,E30,F30)</f>
        <v>14.99</v>
      </c>
      <c r="I30" s="24"/>
      <c r="J30" s="39">
        <v>6.0</v>
      </c>
      <c r="K30" s="40"/>
      <c r="L30" s="42">
        <f>H30*J30</f>
        <v>89.94</v>
      </c>
      <c r="M30" s="6"/>
      <c r="N30" s="6"/>
      <c r="O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  <c r="O31" s="6"/>
    </row>
    <row r="32">
      <c r="A32" s="26"/>
      <c r="B32" s="27"/>
      <c r="C32" s="28"/>
      <c r="D32" s="30">
        <v>2.99</v>
      </c>
      <c r="E32" s="30">
        <v>2.49</v>
      </c>
      <c r="F32" s="62"/>
      <c r="G32" s="35">
        <f>SUM(D32,E32,F32)</f>
        <v>5.48</v>
      </c>
      <c r="H32" s="38">
        <f>AVERAGE(D32,E32,F32)</f>
        <v>2.74</v>
      </c>
      <c r="I32" s="24"/>
      <c r="J32" s="39">
        <v>7.5</v>
      </c>
      <c r="K32" s="40"/>
      <c r="L32" s="42">
        <f>H32*J32</f>
        <v>20.55</v>
      </c>
      <c r="M32" s="6"/>
      <c r="N32" s="6"/>
      <c r="O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21" t="s">
        <v>87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  <c r="O33" s="6"/>
    </row>
    <row r="34">
      <c r="A34" s="26"/>
      <c r="B34" s="27"/>
      <c r="C34" s="28"/>
      <c r="D34" s="30">
        <v>6.98</v>
      </c>
      <c r="E34" s="30"/>
      <c r="F34" s="30">
        <v>6.98</v>
      </c>
      <c r="G34" s="35">
        <f>SUM(D34,E34,F34)</f>
        <v>13.96</v>
      </c>
      <c r="H34" s="38">
        <f>AVERAGE(D34,E34,F34)</f>
        <v>6.98</v>
      </c>
      <c r="I34" s="24"/>
      <c r="J34" s="39">
        <v>0.83</v>
      </c>
      <c r="K34" s="40"/>
      <c r="L34" s="42">
        <f>H34*J34</f>
        <v>5.7934</v>
      </c>
      <c r="M34" s="6"/>
      <c r="N34" s="6"/>
      <c r="O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21" t="s">
        <v>81</v>
      </c>
      <c r="F35" s="21" t="s">
        <v>82</v>
      </c>
      <c r="G35" s="23"/>
      <c r="H35" s="23"/>
      <c r="I35" s="24"/>
      <c r="J35" s="45"/>
      <c r="K35" s="47"/>
      <c r="L35" s="48"/>
      <c r="M35" s="6"/>
      <c r="N35" s="6"/>
      <c r="O35" s="6"/>
    </row>
    <row r="36">
      <c r="A36" s="26"/>
      <c r="B36" s="27"/>
      <c r="C36" s="28"/>
      <c r="D36" s="30">
        <v>6.99</v>
      </c>
      <c r="E36" s="30">
        <v>6.09</v>
      </c>
      <c r="F36" s="30">
        <v>4.58</v>
      </c>
      <c r="G36" s="35">
        <f>SUM(D36,E36,F36)</f>
        <v>17.66</v>
      </c>
      <c r="H36" s="38">
        <f>AVERAGE(D36,E36,F36)</f>
        <v>5.886666667</v>
      </c>
      <c r="I36" s="24"/>
      <c r="J36" s="39">
        <v>7.5</v>
      </c>
      <c r="K36" s="40"/>
      <c r="L36" s="42">
        <f>H36*J36</f>
        <v>44.15</v>
      </c>
      <c r="M36" s="6"/>
      <c r="N36" s="6"/>
      <c r="O36" s="6"/>
    </row>
    <row r="37">
      <c r="A37" s="15">
        <f>A35+1</f>
        <v>18</v>
      </c>
      <c r="B37" s="17" t="s">
        <v>83</v>
      </c>
      <c r="C37" s="19"/>
      <c r="D37" s="44" t="s">
        <v>181</v>
      </c>
      <c r="E37" s="21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  <c r="O37" s="6"/>
    </row>
    <row r="38">
      <c r="A38" s="26"/>
      <c r="B38" s="27"/>
      <c r="C38" s="28"/>
      <c r="D38" s="30">
        <v>19.99</v>
      </c>
      <c r="E38" s="30"/>
      <c r="F38" s="30">
        <v>15.98</v>
      </c>
      <c r="G38" s="35">
        <f>SUM(D38,E38,F38)</f>
        <v>35.97</v>
      </c>
      <c r="H38" s="38">
        <f>AVERAGE(D38,E38,F38)</f>
        <v>17.985</v>
      </c>
      <c r="I38" s="24"/>
      <c r="J38" s="39">
        <v>0.0</v>
      </c>
      <c r="K38" s="40"/>
      <c r="L38" s="42">
        <f>H38*J38</f>
        <v>0</v>
      </c>
      <c r="M38" s="6"/>
      <c r="N38" s="6"/>
      <c r="O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21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  <c r="O39" s="6"/>
    </row>
    <row r="40">
      <c r="A40" s="26"/>
      <c r="B40" s="27"/>
      <c r="C40" s="28"/>
      <c r="D40" s="30">
        <v>4.78</v>
      </c>
      <c r="E40" s="30">
        <v>5.69</v>
      </c>
      <c r="F40" s="30">
        <v>5.89</v>
      </c>
      <c r="G40" s="35">
        <f>SUM(D40,E40,F40)</f>
        <v>16.36</v>
      </c>
      <c r="H40" s="38">
        <f>AVERAGE(D40,E40,F40)</f>
        <v>5.453333333</v>
      </c>
      <c r="I40" s="24"/>
      <c r="J40" s="39">
        <v>0.0</v>
      </c>
      <c r="K40" s="40"/>
      <c r="L40" s="42">
        <f>H40*J40</f>
        <v>0</v>
      </c>
      <c r="M40" s="6"/>
      <c r="N40" s="6"/>
      <c r="O40" s="6"/>
    </row>
    <row r="41">
      <c r="A41" s="15">
        <f>A39+1</f>
        <v>20</v>
      </c>
      <c r="B41" s="17" t="s">
        <v>88</v>
      </c>
      <c r="C41" s="19"/>
      <c r="D41" s="21" t="s">
        <v>89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  <c r="O41" s="6"/>
    </row>
    <row r="42">
      <c r="A42" s="26"/>
      <c r="B42" s="27"/>
      <c r="C42" s="28"/>
      <c r="D42" s="30"/>
      <c r="E42" s="30">
        <v>7.69</v>
      </c>
      <c r="F42" s="30">
        <v>2.98</v>
      </c>
      <c r="G42" s="35">
        <f>SUM(D42,E42,F42)</f>
        <v>10.67</v>
      </c>
      <c r="H42" s="38">
        <f>AVERAGE(D42,E42,F42)</f>
        <v>5.335</v>
      </c>
      <c r="I42" s="24"/>
      <c r="J42" s="39">
        <v>0.0</v>
      </c>
      <c r="K42" s="40"/>
      <c r="L42" s="42">
        <f>H42*J42</f>
        <v>0</v>
      </c>
      <c r="M42" s="6"/>
      <c r="N42" s="6"/>
      <c r="O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  <c r="O43" s="6"/>
    </row>
    <row r="44">
      <c r="A44" s="26"/>
      <c r="B44" s="27"/>
      <c r="C44" s="28"/>
      <c r="D44" s="30">
        <v>46.0</v>
      </c>
      <c r="E44" s="30">
        <v>48.0</v>
      </c>
      <c r="F44" s="30"/>
      <c r="G44" s="35">
        <f>SUM(D44,E44,F44)</f>
        <v>94</v>
      </c>
      <c r="H44" s="38">
        <f>AVERAGE(D44,E44,F44)</f>
        <v>47</v>
      </c>
      <c r="I44" s="24"/>
      <c r="J44" s="39">
        <v>3.0</v>
      </c>
      <c r="K44" s="40"/>
      <c r="L44" s="42">
        <f>H44*J44</f>
        <v>141</v>
      </c>
      <c r="M44" s="6"/>
      <c r="N44" s="6"/>
      <c r="O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  <c r="O45" s="6"/>
    </row>
    <row r="46">
      <c r="A46" s="26"/>
      <c r="B46" s="27"/>
      <c r="C46" s="28"/>
      <c r="D46" s="30">
        <v>39.9</v>
      </c>
      <c r="E46" s="30">
        <v>30.98</v>
      </c>
      <c r="F46" s="30"/>
      <c r="G46" s="35">
        <f>SUM(D46,E46,F46)</f>
        <v>70.88</v>
      </c>
      <c r="H46" s="38">
        <f>AVERAGE(D46,E46,F46)</f>
        <v>35.44</v>
      </c>
      <c r="I46" s="24"/>
      <c r="J46" s="39">
        <v>3.0</v>
      </c>
      <c r="K46" s="40"/>
      <c r="L46" s="42">
        <f>H46*J46</f>
        <v>106.32</v>
      </c>
      <c r="M46" s="6"/>
      <c r="N46" s="6"/>
      <c r="O46" s="6"/>
    </row>
    <row r="47">
      <c r="A47" s="15">
        <f>A45+1</f>
        <v>23</v>
      </c>
      <c r="B47" s="17" t="s">
        <v>104</v>
      </c>
      <c r="C47" s="19"/>
      <c r="D47" s="21" t="s">
        <v>105</v>
      </c>
      <c r="E47" s="21" t="s">
        <v>106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  <c r="O47" s="6"/>
    </row>
    <row r="48">
      <c r="A48" s="26"/>
      <c r="B48" s="27"/>
      <c r="C48" s="28"/>
      <c r="D48" s="30">
        <v>12.99</v>
      </c>
      <c r="E48" s="30">
        <v>7.98</v>
      </c>
      <c r="F48" s="62"/>
      <c r="G48" s="35">
        <f>SUM(D48,E48,F48)</f>
        <v>20.97</v>
      </c>
      <c r="H48" s="38">
        <f>AVERAGE(D48,E48,F48)</f>
        <v>10.485</v>
      </c>
      <c r="I48" s="24"/>
      <c r="J48" s="39">
        <v>0.0</v>
      </c>
      <c r="K48" s="40"/>
      <c r="L48" s="42">
        <f>H48*J48</f>
        <v>0</v>
      </c>
      <c r="M48" s="6"/>
      <c r="N48" s="6"/>
      <c r="O48" s="6"/>
    </row>
    <row r="49">
      <c r="A49" s="15">
        <f>A47+1</f>
        <v>24</v>
      </c>
      <c r="B49" s="17" t="s">
        <v>108</v>
      </c>
      <c r="C49" s="19"/>
      <c r="D49" s="21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  <c r="O49" s="6"/>
    </row>
    <row r="50">
      <c r="A50" s="26"/>
      <c r="B50" s="27"/>
      <c r="C50" s="28"/>
      <c r="D50" s="30">
        <v>10.99</v>
      </c>
      <c r="E50" s="30"/>
      <c r="F50" s="30">
        <v>8.98</v>
      </c>
      <c r="G50" s="35">
        <f>SUM(D50,E50,F50)</f>
        <v>19.97</v>
      </c>
      <c r="H50" s="38">
        <f>AVERAGE(D50,E50,F50)</f>
        <v>9.985</v>
      </c>
      <c r="I50" s="24"/>
      <c r="J50" s="39">
        <v>0.0</v>
      </c>
      <c r="K50" s="40"/>
      <c r="L50" s="42">
        <f>H50*J50</f>
        <v>0</v>
      </c>
      <c r="M50" s="6"/>
      <c r="N50" s="6"/>
      <c r="O50" s="6"/>
    </row>
    <row r="51">
      <c r="A51" s="15">
        <f>A49+1</f>
        <v>25</v>
      </c>
      <c r="B51" s="17" t="s">
        <v>110</v>
      </c>
      <c r="C51" s="19"/>
      <c r="D51" s="44" t="s">
        <v>183</v>
      </c>
      <c r="E51" s="44" t="s">
        <v>184</v>
      </c>
      <c r="F51" s="21" t="s">
        <v>111</v>
      </c>
      <c r="G51" s="23"/>
      <c r="H51" s="23"/>
      <c r="I51" s="24"/>
      <c r="J51" s="45"/>
      <c r="K51" s="47"/>
      <c r="L51" s="48"/>
      <c r="M51" s="6"/>
      <c r="N51" s="6"/>
      <c r="O51" s="6"/>
    </row>
    <row r="52">
      <c r="A52" s="26"/>
      <c r="B52" s="27"/>
      <c r="C52" s="28"/>
      <c r="D52" s="30"/>
      <c r="E52" s="30">
        <v>16.99</v>
      </c>
      <c r="F52" s="30">
        <v>13.98</v>
      </c>
      <c r="G52" s="35">
        <f>SUM(D52,E52,F52)</f>
        <v>30.97</v>
      </c>
      <c r="H52" s="38">
        <f>AVERAGE(D52,E52,F52)</f>
        <v>15.485</v>
      </c>
      <c r="I52" s="24"/>
      <c r="J52" s="39">
        <v>0.0</v>
      </c>
      <c r="K52" s="40"/>
      <c r="L52" s="42">
        <f>H52*J52</f>
        <v>0</v>
      </c>
      <c r="M52" s="6"/>
      <c r="N52" s="6"/>
      <c r="O52" s="6"/>
    </row>
    <row r="53">
      <c r="A53" s="15">
        <f>A51+1</f>
        <v>26</v>
      </c>
      <c r="B53" s="17" t="s">
        <v>112</v>
      </c>
      <c r="C53" s="19"/>
      <c r="D53" s="21" t="s">
        <v>185</v>
      </c>
      <c r="E53" s="21" t="s">
        <v>66</v>
      </c>
      <c r="F53" s="21" t="s">
        <v>114</v>
      </c>
      <c r="G53" s="23"/>
      <c r="H53" s="23"/>
      <c r="I53" s="24"/>
      <c r="J53" s="45"/>
      <c r="K53" s="47"/>
      <c r="L53" s="48"/>
      <c r="M53" s="6"/>
      <c r="N53" s="6"/>
      <c r="O53" s="6"/>
    </row>
    <row r="54">
      <c r="A54" s="26"/>
      <c r="B54" s="27"/>
      <c r="C54" s="28"/>
      <c r="D54" s="30"/>
      <c r="E54" s="30">
        <v>34.95</v>
      </c>
      <c r="F54" s="30">
        <v>39.98</v>
      </c>
      <c r="G54" s="35">
        <f>SUM(D54,E54,F54)</f>
        <v>74.93</v>
      </c>
      <c r="H54" s="38">
        <f>AVERAGE(D54,E54,F54)</f>
        <v>37.465</v>
      </c>
      <c r="I54" s="64"/>
      <c r="J54" s="65">
        <v>0.0</v>
      </c>
      <c r="K54" s="64"/>
      <c r="L54" s="42">
        <f>H54*J54</f>
        <v>0</v>
      </c>
      <c r="M54" s="6"/>
      <c r="N54" s="6"/>
      <c r="O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>
        <f>SUM(H4:H54)</f>
        <v>355.6083333</v>
      </c>
      <c r="I55" s="64"/>
      <c r="J55" s="69" t="s">
        <v>9</v>
      </c>
      <c r="K55" s="28"/>
      <c r="L55" s="70">
        <f>SUM(L4:L54)</f>
        <v>655.6044</v>
      </c>
      <c r="M55" s="6"/>
      <c r="N55" s="6"/>
      <c r="O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  <c r="O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  <c r="O57" s="6"/>
    </row>
    <row r="58">
      <c r="A58" s="26"/>
      <c r="B58" s="27"/>
      <c r="C58" s="28"/>
      <c r="D58" s="30">
        <v>7.99</v>
      </c>
      <c r="E58" s="30">
        <v>11.9</v>
      </c>
      <c r="F58" s="30">
        <v>11.59</v>
      </c>
      <c r="G58" s="35">
        <f>SUM(D58,E58,F58)</f>
        <v>31.48</v>
      </c>
      <c r="H58" s="38">
        <f>AVERAGE(D58,E58,F58)</f>
        <v>10.49333333</v>
      </c>
      <c r="I58" s="24"/>
      <c r="J58" s="73">
        <v>4.0</v>
      </c>
      <c r="K58" s="40"/>
      <c r="L58" s="42">
        <f>H58*J58</f>
        <v>41.97333333</v>
      </c>
      <c r="M58" s="6"/>
      <c r="N58" s="6"/>
      <c r="O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44" t="s">
        <v>168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  <c r="O59" s="6"/>
    </row>
    <row r="60">
      <c r="A60" s="26"/>
      <c r="B60" s="27"/>
      <c r="C60" s="28"/>
      <c r="D60" s="30">
        <v>5.49</v>
      </c>
      <c r="E60" s="30">
        <v>2.95</v>
      </c>
      <c r="F60" s="62"/>
      <c r="G60" s="35">
        <f>SUM(D60,E60,F60)</f>
        <v>8.44</v>
      </c>
      <c r="H60" s="38">
        <f>AVERAGE(D60,E60,F60)</f>
        <v>4.22</v>
      </c>
      <c r="I60" s="24"/>
      <c r="J60" s="73">
        <v>15.0</v>
      </c>
      <c r="K60" s="40"/>
      <c r="L60" s="42">
        <f>H60*J60</f>
        <v>63.3</v>
      </c>
      <c r="M60" s="6"/>
      <c r="N60" s="6"/>
      <c r="O60" s="6"/>
    </row>
    <row r="61">
      <c r="A61" s="15">
        <f>A59+1</f>
        <v>29</v>
      </c>
      <c r="B61" s="17" t="s">
        <v>127</v>
      </c>
      <c r="C61" s="19"/>
      <c r="D61" s="21" t="s">
        <v>123</v>
      </c>
      <c r="E61" s="44" t="s">
        <v>187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  <c r="O61" s="6"/>
    </row>
    <row r="62">
      <c r="A62" s="26"/>
      <c r="B62" s="27"/>
      <c r="C62" s="28"/>
      <c r="D62" s="30">
        <v>8.25</v>
      </c>
      <c r="E62" s="30">
        <v>4.99</v>
      </c>
      <c r="F62" s="30"/>
      <c r="G62" s="35">
        <f>SUM(D62,E62,F62)</f>
        <v>13.24</v>
      </c>
      <c r="H62" s="38">
        <f>AVERAGE(D62,E62,F62)</f>
        <v>6.62</v>
      </c>
      <c r="I62" s="24"/>
      <c r="J62" s="73">
        <v>2.0</v>
      </c>
      <c r="K62" s="40"/>
      <c r="L62" s="42">
        <f>H62*J62</f>
        <v>13.24</v>
      </c>
      <c r="M62" s="6"/>
      <c r="N62" s="6"/>
      <c r="O62" s="6"/>
    </row>
    <row r="63">
      <c r="A63" s="15">
        <f>A61+1</f>
        <v>30</v>
      </c>
      <c r="B63" s="17" t="s">
        <v>131</v>
      </c>
      <c r="C63" s="19"/>
      <c r="D63" s="21" t="s">
        <v>123</v>
      </c>
      <c r="E63" s="21" t="s">
        <v>124</v>
      </c>
      <c r="F63" s="21" t="s">
        <v>132</v>
      </c>
      <c r="G63" s="23"/>
      <c r="H63" s="23"/>
      <c r="I63" s="24"/>
      <c r="J63" s="47"/>
      <c r="K63" s="27"/>
      <c r="L63" s="67"/>
      <c r="M63" s="6"/>
      <c r="N63" s="6"/>
      <c r="O63" s="6"/>
    </row>
    <row r="64">
      <c r="A64" s="26"/>
      <c r="B64" s="27"/>
      <c r="C64" s="28"/>
      <c r="D64" s="30">
        <v>2.69</v>
      </c>
      <c r="E64" s="30">
        <v>2.59</v>
      </c>
      <c r="F64" s="30">
        <v>3.69</v>
      </c>
      <c r="G64" s="35">
        <f>SUM(D64,E64,F64)</f>
        <v>8.97</v>
      </c>
      <c r="H64" s="38">
        <f>AVERAGE(D64,E64,F64)</f>
        <v>2.99</v>
      </c>
      <c r="I64" s="64"/>
      <c r="J64" s="73">
        <v>2.0</v>
      </c>
      <c r="K64" s="40"/>
      <c r="L64" s="42">
        <f>H64*J64</f>
        <v>5.98</v>
      </c>
      <c r="M64" s="6"/>
      <c r="N64" s="6"/>
      <c r="O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>
        <f>SUM(H57:H64)</f>
        <v>24.32333333</v>
      </c>
      <c r="I65" s="64"/>
      <c r="J65" s="69" t="s">
        <v>9</v>
      </c>
      <c r="K65" s="28"/>
      <c r="L65" s="70">
        <f>SUM(L57:L64)</f>
        <v>124.4933333</v>
      </c>
      <c r="M65" s="6"/>
      <c r="N65" s="6"/>
      <c r="O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  <c r="O66" s="6"/>
    </row>
    <row r="67">
      <c r="A67" s="15">
        <f>A63+1</f>
        <v>31</v>
      </c>
      <c r="B67" s="17" t="s">
        <v>136</v>
      </c>
      <c r="C67" s="19"/>
      <c r="D67" s="21" t="s">
        <v>157</v>
      </c>
      <c r="E67" s="44" t="s">
        <v>172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  <c r="O67" s="6"/>
    </row>
    <row r="68">
      <c r="A68" s="26"/>
      <c r="B68" s="27"/>
      <c r="C68" s="28"/>
      <c r="D68" s="30">
        <v>5.49</v>
      </c>
      <c r="E68" s="30">
        <v>9.49</v>
      </c>
      <c r="F68" s="72"/>
      <c r="G68" s="35">
        <f>SUM(D68,E68,F68)</f>
        <v>14.98</v>
      </c>
      <c r="H68" s="38">
        <f>AVERAGE(D68,E68,F68)</f>
        <v>7.49</v>
      </c>
      <c r="I68" s="24"/>
      <c r="J68" s="73">
        <v>3.0</v>
      </c>
      <c r="K68" s="40"/>
      <c r="L68" s="42">
        <f>H68*J68</f>
        <v>22.47</v>
      </c>
      <c r="M68" s="6"/>
      <c r="N68" s="6"/>
      <c r="O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  <c r="O69" s="6"/>
    </row>
    <row r="70">
      <c r="A70" s="26"/>
      <c r="B70" s="27"/>
      <c r="C70" s="28"/>
      <c r="D70" s="30">
        <v>8.99</v>
      </c>
      <c r="E70" s="30">
        <v>7.49</v>
      </c>
      <c r="F70" s="62"/>
      <c r="G70" s="35">
        <f>SUM(D70,E70,F70)</f>
        <v>16.48</v>
      </c>
      <c r="H70" s="38">
        <f>AVERAGE(D70,E70,F70)</f>
        <v>8.24</v>
      </c>
      <c r="I70" s="24"/>
      <c r="J70" s="73">
        <v>2.0</v>
      </c>
      <c r="K70" s="40"/>
      <c r="L70" s="42">
        <f>H70*J70</f>
        <v>16.48</v>
      </c>
      <c r="M70" s="6"/>
      <c r="N70" s="6"/>
      <c r="O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  <c r="O71" s="6"/>
    </row>
    <row r="72">
      <c r="A72" s="26"/>
      <c r="B72" s="27"/>
      <c r="C72" s="28"/>
      <c r="D72" s="30">
        <v>4.15</v>
      </c>
      <c r="E72" s="30">
        <v>3.29</v>
      </c>
      <c r="F72" s="62"/>
      <c r="G72" s="35">
        <f>SUM(D72,E72,F72)</f>
        <v>7.44</v>
      </c>
      <c r="H72" s="38">
        <f>AVERAGE(D72,E72,F72)</f>
        <v>3.72</v>
      </c>
      <c r="I72" s="24"/>
      <c r="J72" s="73">
        <v>10.0</v>
      </c>
      <c r="K72" s="40"/>
      <c r="L72" s="42">
        <f>H72*J72</f>
        <v>37.2</v>
      </c>
      <c r="M72" s="6"/>
      <c r="N72" s="6"/>
      <c r="O72" s="6"/>
    </row>
    <row r="73">
      <c r="A73" s="15">
        <f>A71+1</f>
        <v>34</v>
      </c>
      <c r="B73" s="17" t="s">
        <v>149</v>
      </c>
      <c r="C73" s="19"/>
      <c r="D73" s="44" t="s">
        <v>163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  <c r="O73" s="6"/>
    </row>
    <row r="74">
      <c r="A74" s="26"/>
      <c r="B74" s="27"/>
      <c r="C74" s="28"/>
      <c r="D74" s="30">
        <v>22.99</v>
      </c>
      <c r="E74" s="30">
        <v>15.99</v>
      </c>
      <c r="F74" s="62"/>
      <c r="G74" s="35">
        <f>SUM(D74,E74,F74)</f>
        <v>38.98</v>
      </c>
      <c r="H74" s="38">
        <f>AVERAGE(D74,E74,F74)</f>
        <v>19.49</v>
      </c>
      <c r="I74" s="24"/>
      <c r="J74" s="73">
        <v>2.0</v>
      </c>
      <c r="K74" s="40"/>
      <c r="L74" s="42">
        <f>H74*J74</f>
        <v>38.98</v>
      </c>
      <c r="M74" s="6"/>
      <c r="N74" s="6"/>
      <c r="O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  <c r="O75" s="6"/>
    </row>
    <row r="76">
      <c r="A76" s="26"/>
      <c r="B76" s="27"/>
      <c r="C76" s="28"/>
      <c r="D76" s="30">
        <v>5.95</v>
      </c>
      <c r="E76" s="30">
        <v>10.9</v>
      </c>
      <c r="F76" s="62"/>
      <c r="G76" s="35">
        <f>SUM(D76,E76,F76)</f>
        <v>16.85</v>
      </c>
      <c r="H76" s="38">
        <f>AVERAGE(D76,E76,F76)</f>
        <v>8.425</v>
      </c>
      <c r="I76" s="64"/>
      <c r="J76" s="73">
        <v>1.0</v>
      </c>
      <c r="K76" s="40"/>
      <c r="L76" s="42">
        <f>H76*J76</f>
        <v>8.425</v>
      </c>
      <c r="M76" s="6"/>
      <c r="N76" s="6"/>
      <c r="O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47.365</v>
      </c>
      <c r="I77" s="64"/>
      <c r="J77" s="69" t="s">
        <v>9</v>
      </c>
      <c r="K77" s="28"/>
      <c r="L77" s="70">
        <f>SUM(L68:L76)</f>
        <v>123.555</v>
      </c>
      <c r="M77" s="6"/>
      <c r="N77" s="6"/>
      <c r="O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  <c r="O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  <c r="O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427.2966667</v>
      </c>
      <c r="I80" s="6"/>
      <c r="J80" s="24"/>
      <c r="K80" s="81" t="s">
        <v>9</v>
      </c>
      <c r="L80" s="70">
        <f>L55+L65+L77</f>
        <v>903.6527333</v>
      </c>
      <c r="M80" s="6"/>
      <c r="N80" s="6"/>
      <c r="O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75"/>
      <c r="I83" s="6"/>
      <c r="J83" s="6"/>
      <c r="K83" s="6"/>
      <c r="L83" s="75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  <c r="O1" s="6"/>
      <c r="P1" s="6"/>
      <c r="Q1" s="6"/>
    </row>
    <row r="2">
      <c r="A2" s="8" t="s">
        <v>179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</row>
    <row r="4">
      <c r="A4" s="26"/>
      <c r="B4" s="27"/>
      <c r="C4" s="28"/>
      <c r="D4" s="30">
        <v>18.99</v>
      </c>
      <c r="E4" s="30">
        <v>16.99</v>
      </c>
      <c r="F4" s="30">
        <v>19.99</v>
      </c>
      <c r="G4" s="35">
        <f>SUM(D4,E4,F4)</f>
        <v>55.97</v>
      </c>
      <c r="H4" s="38">
        <f>AVERAGE(D4,E4,F4)</f>
        <v>18.65666667</v>
      </c>
      <c r="I4" s="24"/>
      <c r="J4" s="39">
        <v>0.6</v>
      </c>
      <c r="K4" s="40" t="s">
        <v>15</v>
      </c>
      <c r="L4" s="42">
        <f>H4*J4</f>
        <v>11.194</v>
      </c>
      <c r="M4" s="6"/>
      <c r="N4" s="6"/>
      <c r="O4" s="6"/>
      <c r="P4" s="6"/>
      <c r="Q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44" t="s">
        <v>20</v>
      </c>
      <c r="G5" s="23"/>
      <c r="H5" s="23"/>
      <c r="I5" s="24"/>
      <c r="J5" s="45"/>
      <c r="K5" s="47"/>
      <c r="L5" s="48"/>
      <c r="M5" s="6"/>
      <c r="N5" s="6"/>
      <c r="O5" s="6"/>
      <c r="P5" s="6"/>
      <c r="Q5" s="6"/>
    </row>
    <row r="6">
      <c r="A6" s="26"/>
      <c r="B6" s="27"/>
      <c r="C6" s="28"/>
      <c r="D6" s="30">
        <v>7.99</v>
      </c>
      <c r="E6" s="30">
        <v>7.99</v>
      </c>
      <c r="F6" s="30">
        <v>7.99</v>
      </c>
      <c r="G6" s="35">
        <f>SUM(D6,E6,F6)</f>
        <v>23.97</v>
      </c>
      <c r="H6" s="38">
        <f>AVERAGE(D6,E6,F6)</f>
        <v>7.99</v>
      </c>
      <c r="I6" s="24"/>
      <c r="J6" s="39">
        <v>4.0</v>
      </c>
      <c r="K6" s="40"/>
      <c r="L6" s="42">
        <f>H6*J6</f>
        <v>31.96</v>
      </c>
      <c r="M6" s="6"/>
      <c r="N6" s="6"/>
      <c r="O6" s="6"/>
      <c r="P6" s="6"/>
      <c r="Q6" s="6"/>
    </row>
    <row r="7">
      <c r="A7" s="15">
        <f>A5+1</f>
        <v>3</v>
      </c>
      <c r="B7" s="17" t="s">
        <v>23</v>
      </c>
      <c r="C7" s="19"/>
      <c r="D7" s="21" t="s">
        <v>24</v>
      </c>
      <c r="E7" s="21" t="s">
        <v>25</v>
      </c>
      <c r="F7" s="21" t="s">
        <v>26</v>
      </c>
      <c r="G7" s="23"/>
      <c r="H7" s="23"/>
      <c r="I7" s="24"/>
      <c r="J7" s="45"/>
      <c r="K7" s="47"/>
      <c r="L7" s="48"/>
      <c r="M7" s="6"/>
      <c r="N7" s="6"/>
      <c r="O7" s="6"/>
      <c r="P7" s="6"/>
      <c r="Q7" s="6"/>
    </row>
    <row r="8">
      <c r="A8" s="26"/>
      <c r="B8" s="27"/>
      <c r="C8" s="28"/>
      <c r="D8" s="30">
        <v>13.49</v>
      </c>
      <c r="E8" s="30">
        <v>13.26</v>
      </c>
      <c r="F8" s="30">
        <v>13.03</v>
      </c>
      <c r="G8" s="35">
        <f>SUM(D8,E8,F8)</f>
        <v>39.78</v>
      </c>
      <c r="H8" s="38">
        <f>AVERAGE(D8,E8,F8)</f>
        <v>13.26</v>
      </c>
      <c r="I8" s="24"/>
      <c r="J8" s="39">
        <v>0.6</v>
      </c>
      <c r="K8" s="40"/>
      <c r="L8" s="42">
        <f>H8*J8</f>
        <v>7.956</v>
      </c>
      <c r="M8" s="6"/>
      <c r="N8" s="6"/>
      <c r="O8" s="6"/>
      <c r="P8" s="6"/>
      <c r="Q8" s="6"/>
    </row>
    <row r="9">
      <c r="A9" s="15">
        <f>A7+1</f>
        <v>4</v>
      </c>
      <c r="B9" s="17" t="s">
        <v>28</v>
      </c>
      <c r="C9" s="19"/>
      <c r="D9" s="21" t="s">
        <v>29</v>
      </c>
      <c r="E9" s="21" t="s">
        <v>30</v>
      </c>
      <c r="F9" s="21" t="s">
        <v>31</v>
      </c>
      <c r="G9" s="23"/>
      <c r="H9" s="23"/>
      <c r="I9" s="24"/>
      <c r="J9" s="45"/>
      <c r="K9" s="47"/>
      <c r="L9" s="48"/>
      <c r="M9" s="6"/>
      <c r="N9" s="6"/>
      <c r="O9" s="6"/>
      <c r="P9" s="6"/>
      <c r="Q9" s="6"/>
    </row>
    <row r="10">
      <c r="A10" s="26"/>
      <c r="B10" s="27"/>
      <c r="C10" s="28"/>
      <c r="D10" s="30">
        <v>30.69</v>
      </c>
      <c r="E10" s="30">
        <v>25.99</v>
      </c>
      <c r="F10" s="30">
        <v>28.34</v>
      </c>
      <c r="G10" s="35">
        <f>SUM(D10,E10,F10)</f>
        <v>85.02</v>
      </c>
      <c r="H10" s="38">
        <f>AVERAGE(D10,E10,F10)</f>
        <v>28.34</v>
      </c>
      <c r="I10" s="24"/>
      <c r="J10" s="39">
        <v>1.2</v>
      </c>
      <c r="K10" s="40"/>
      <c r="L10" s="42">
        <f>H10*J10</f>
        <v>34.008</v>
      </c>
      <c r="M10" s="6"/>
      <c r="N10" s="6"/>
      <c r="O10" s="6"/>
      <c r="P10" s="6"/>
      <c r="Q10" s="6"/>
    </row>
    <row r="11">
      <c r="A11" s="15">
        <f>A9+1</f>
        <v>5</v>
      </c>
      <c r="B11" s="17" t="s">
        <v>34</v>
      </c>
      <c r="C11" s="19"/>
      <c r="D11" s="21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  <c r="O11" s="6"/>
      <c r="P11" s="6"/>
      <c r="Q11" s="6"/>
    </row>
    <row r="12">
      <c r="A12" s="26"/>
      <c r="B12" s="27"/>
      <c r="C12" s="28"/>
      <c r="D12" s="30">
        <v>4.29</v>
      </c>
      <c r="E12" s="30">
        <v>5.29</v>
      </c>
      <c r="F12" s="30">
        <v>5.49</v>
      </c>
      <c r="G12" s="35">
        <f>SUM(D12,E12,F12)</f>
        <v>15.07</v>
      </c>
      <c r="H12" s="38">
        <f>AVERAGE(D12,E12,F12)</f>
        <v>5.023333333</v>
      </c>
      <c r="I12" s="24"/>
      <c r="J12" s="39">
        <v>0.0</v>
      </c>
      <c r="K12" s="40"/>
      <c r="L12" s="42">
        <f>H12*J12</f>
        <v>0</v>
      </c>
      <c r="M12" s="6"/>
      <c r="N12" s="6"/>
      <c r="O12" s="6"/>
      <c r="P12" s="6"/>
      <c r="Q12" s="6"/>
    </row>
    <row r="13">
      <c r="A13" s="15">
        <f>A11+1</f>
        <v>6</v>
      </c>
      <c r="B13" s="17" t="s">
        <v>38</v>
      </c>
      <c r="C13" s="19"/>
      <c r="D13" s="21" t="s">
        <v>39</v>
      </c>
      <c r="E13" s="44" t="s">
        <v>6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  <c r="O13" s="6"/>
      <c r="P13" s="6"/>
      <c r="Q13" s="6"/>
    </row>
    <row r="14">
      <c r="A14" s="26"/>
      <c r="B14" s="27"/>
      <c r="C14" s="28"/>
      <c r="D14" s="30">
        <v>4.99</v>
      </c>
      <c r="E14" s="30">
        <v>4.99</v>
      </c>
      <c r="F14" s="30"/>
      <c r="G14" s="35">
        <f>SUM(D14,E14,F14)</f>
        <v>9.98</v>
      </c>
      <c r="H14" s="38">
        <f>AVERAGE(D14,E14,F14)</f>
        <v>4.99</v>
      </c>
      <c r="I14" s="24"/>
      <c r="J14" s="39">
        <v>1.0</v>
      </c>
      <c r="K14" s="40"/>
      <c r="L14" s="42">
        <f>H14*J14</f>
        <v>4.99</v>
      </c>
      <c r="M14" s="6"/>
      <c r="N14" s="6"/>
      <c r="O14" s="6"/>
      <c r="P14" s="6"/>
      <c r="Q14" s="6"/>
    </row>
    <row r="15">
      <c r="A15" s="15">
        <f>A13+1</f>
        <v>7</v>
      </c>
      <c r="B15" s="17" t="s">
        <v>43</v>
      </c>
      <c r="C15" s="19"/>
      <c r="D15" s="21" t="s">
        <v>45</v>
      </c>
      <c r="E15" s="44" t="s">
        <v>180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  <c r="O15" s="6"/>
      <c r="P15" s="6"/>
      <c r="Q15" s="6"/>
    </row>
    <row r="16">
      <c r="A16" s="26"/>
      <c r="B16" s="27"/>
      <c r="C16" s="28"/>
      <c r="D16" s="30">
        <v>10.99</v>
      </c>
      <c r="E16" s="62"/>
      <c r="F16" s="62"/>
      <c r="G16" s="35">
        <f>SUM(D16,E16,F16)</f>
        <v>10.99</v>
      </c>
      <c r="H16" s="38">
        <f>AVERAGE(D16,E16,F16)</f>
        <v>10.99</v>
      </c>
      <c r="I16" s="24"/>
      <c r="J16" s="39">
        <v>6.0</v>
      </c>
      <c r="K16" s="40"/>
      <c r="L16" s="42">
        <f>H16*J16</f>
        <v>65.94</v>
      </c>
      <c r="M16" s="6"/>
      <c r="N16" s="6"/>
      <c r="O16" s="6"/>
      <c r="P16" s="6"/>
      <c r="Q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  <c r="O17" s="6"/>
      <c r="P17" s="6"/>
      <c r="Q17" s="6"/>
    </row>
    <row r="18">
      <c r="A18" s="26"/>
      <c r="B18" s="27"/>
      <c r="C18" s="28"/>
      <c r="D18" s="30">
        <v>4.99</v>
      </c>
      <c r="E18" s="62"/>
      <c r="F18" s="62"/>
      <c r="G18" s="35">
        <f>SUM(D18,E18,F18)</f>
        <v>4.99</v>
      </c>
      <c r="H18" s="38">
        <f>AVERAGE(D18,E18,F18)</f>
        <v>4.99</v>
      </c>
      <c r="I18" s="24"/>
      <c r="J18" s="39">
        <v>0.0</v>
      </c>
      <c r="K18" s="40"/>
      <c r="L18" s="42">
        <f>H18*J18</f>
        <v>0</v>
      </c>
      <c r="M18" s="6"/>
      <c r="N18" s="6"/>
      <c r="O18" s="6"/>
      <c r="P18" s="6"/>
      <c r="Q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  <c r="O19" s="6"/>
      <c r="P19" s="6"/>
      <c r="Q19" s="6"/>
    </row>
    <row r="20">
      <c r="A20" s="26"/>
      <c r="B20" s="27"/>
      <c r="C20" s="28"/>
      <c r="D20" s="30">
        <v>7.99</v>
      </c>
      <c r="E20" s="62"/>
      <c r="F20" s="62"/>
      <c r="G20" s="35">
        <f>SUM(D20,E20,F20)</f>
        <v>7.99</v>
      </c>
      <c r="H20" s="38">
        <f>AVERAGE(D20,E20,F20)</f>
        <v>7.99</v>
      </c>
      <c r="I20" s="24"/>
      <c r="J20" s="39">
        <v>9.0</v>
      </c>
      <c r="K20" s="40"/>
      <c r="L20" s="42">
        <f>H20*J20</f>
        <v>71.91</v>
      </c>
      <c r="M20" s="6"/>
      <c r="N20" s="6"/>
      <c r="O20" s="6"/>
      <c r="P20" s="6"/>
      <c r="Q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  <c r="O21" s="6"/>
      <c r="P21" s="6"/>
      <c r="Q21" s="6"/>
    </row>
    <row r="22">
      <c r="A22" s="26"/>
      <c r="B22" s="27"/>
      <c r="C22" s="28"/>
      <c r="D22" s="30">
        <v>17.99</v>
      </c>
      <c r="E22" s="62"/>
      <c r="F22" s="62"/>
      <c r="G22" s="35">
        <f>SUM(D22,E22,F22)</f>
        <v>17.99</v>
      </c>
      <c r="H22" s="38">
        <f>AVERAGE(D22,E22,F22)</f>
        <v>17.99</v>
      </c>
      <c r="I22" s="24"/>
      <c r="J22" s="39">
        <v>0.0</v>
      </c>
      <c r="K22" s="40"/>
      <c r="L22" s="42">
        <f>H22*J22</f>
        <v>0</v>
      </c>
      <c r="M22" s="6"/>
      <c r="N22" s="6"/>
      <c r="O22" s="6"/>
      <c r="P22" s="6"/>
      <c r="Q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44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  <c r="O23" s="6"/>
      <c r="P23" s="6"/>
      <c r="Q23" s="6"/>
    </row>
    <row r="24">
      <c r="A24" s="26"/>
      <c r="B24" s="27"/>
      <c r="C24" s="28"/>
      <c r="D24" s="30">
        <v>9.49</v>
      </c>
      <c r="E24" s="30">
        <v>9.98</v>
      </c>
      <c r="F24" s="72"/>
      <c r="G24" s="35">
        <f>SUM(D24,E24,F24)</f>
        <v>19.47</v>
      </c>
      <c r="H24" s="38">
        <f>AVERAGE(D24,E24,F24)</f>
        <v>9.735</v>
      </c>
      <c r="I24" s="24"/>
      <c r="J24" s="39">
        <v>0.0</v>
      </c>
      <c r="K24" s="40"/>
      <c r="L24" s="42">
        <f>H24*J24</f>
        <v>0</v>
      </c>
      <c r="M24" s="6"/>
      <c r="N24" s="6"/>
      <c r="O24" s="6"/>
      <c r="P24" s="6"/>
      <c r="Q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  <c r="O25" s="6"/>
      <c r="P25" s="6"/>
      <c r="Q25" s="6"/>
    </row>
    <row r="26">
      <c r="A26" s="26"/>
      <c r="B26" s="27"/>
      <c r="C26" s="28"/>
      <c r="D26" s="30">
        <v>5.99</v>
      </c>
      <c r="E26" s="30">
        <v>5.49</v>
      </c>
      <c r="F26" s="30">
        <v>4.99</v>
      </c>
      <c r="G26" s="35">
        <f>SUM(D26,E26,F26)</f>
        <v>16.47</v>
      </c>
      <c r="H26" s="38">
        <f>AVERAGE(D26,E26,F26)</f>
        <v>5.49</v>
      </c>
      <c r="I26" s="24"/>
      <c r="J26" s="39">
        <v>3.0</v>
      </c>
      <c r="K26" s="40"/>
      <c r="L26" s="42">
        <f>H26*J26</f>
        <v>16.47</v>
      </c>
      <c r="M26" s="6"/>
      <c r="N26" s="6"/>
      <c r="O26" s="6"/>
      <c r="P26" s="6"/>
      <c r="Q26" s="6"/>
    </row>
    <row r="27">
      <c r="A27" s="15">
        <f>A25+1</f>
        <v>13</v>
      </c>
      <c r="B27" s="17" t="s">
        <v>64</v>
      </c>
      <c r="C27" s="19"/>
      <c r="D27" s="21" t="s">
        <v>65</v>
      </c>
      <c r="E27" s="44" t="s">
        <v>76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  <c r="O27" s="6"/>
      <c r="P27" s="6"/>
      <c r="Q27" s="6"/>
    </row>
    <row r="28">
      <c r="A28" s="26"/>
      <c r="B28" s="27"/>
      <c r="C28" s="28"/>
      <c r="D28" s="30">
        <v>6.23</v>
      </c>
      <c r="E28" s="30">
        <v>2.39</v>
      </c>
      <c r="F28" s="30">
        <v>2.99</v>
      </c>
      <c r="G28" s="35">
        <f>SUM(D28,E28,F28)</f>
        <v>11.61</v>
      </c>
      <c r="H28" s="38">
        <f>AVERAGE(D28,E28,F28)</f>
        <v>3.87</v>
      </c>
      <c r="I28" s="24"/>
      <c r="J28" s="39">
        <v>0.0</v>
      </c>
      <c r="K28" s="40"/>
      <c r="L28" s="42">
        <f>H28*J28</f>
        <v>0</v>
      </c>
      <c r="M28" s="6"/>
      <c r="N28" s="6"/>
      <c r="O28" s="6"/>
      <c r="P28" s="6"/>
      <c r="Q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  <c r="O29" s="6"/>
      <c r="P29" s="6"/>
      <c r="Q29" s="6"/>
    </row>
    <row r="30">
      <c r="A30" s="26"/>
      <c r="B30" s="27"/>
      <c r="C30" s="28"/>
      <c r="D30" s="30">
        <v>18.99</v>
      </c>
      <c r="E30" s="62"/>
      <c r="F30" s="62"/>
      <c r="G30" s="35">
        <f>SUM(D30,E30,F30)</f>
        <v>18.99</v>
      </c>
      <c r="H30" s="38">
        <f>AVERAGE(D30,E30,F30)</f>
        <v>18.99</v>
      </c>
      <c r="I30" s="24"/>
      <c r="J30" s="39">
        <v>6.0</v>
      </c>
      <c r="K30" s="40"/>
      <c r="L30" s="42">
        <f>H30*J30</f>
        <v>113.94</v>
      </c>
      <c r="M30" s="6"/>
      <c r="N30" s="6"/>
      <c r="O30" s="6"/>
      <c r="P30" s="6"/>
      <c r="Q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  <c r="O31" s="6"/>
      <c r="P31" s="6"/>
      <c r="Q31" s="6"/>
    </row>
    <row r="32">
      <c r="A32" s="26"/>
      <c r="B32" s="27"/>
      <c r="C32" s="28"/>
      <c r="D32" s="30">
        <v>6.99</v>
      </c>
      <c r="E32" s="30">
        <v>2.99</v>
      </c>
      <c r="F32" s="62"/>
      <c r="G32" s="35">
        <f>SUM(D32,E32,F32)</f>
        <v>9.98</v>
      </c>
      <c r="H32" s="38">
        <f>AVERAGE(D32,E32,F32)</f>
        <v>4.99</v>
      </c>
      <c r="I32" s="24"/>
      <c r="J32" s="39">
        <v>7.5</v>
      </c>
      <c r="K32" s="40"/>
      <c r="L32" s="42">
        <f>H32*J32</f>
        <v>37.425</v>
      </c>
      <c r="M32" s="6"/>
      <c r="N32" s="6"/>
      <c r="O32" s="6"/>
      <c r="P32" s="6"/>
      <c r="Q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44" t="s">
        <v>182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  <c r="O33" s="6"/>
      <c r="P33" s="6"/>
      <c r="Q33" s="6"/>
    </row>
    <row r="34">
      <c r="A34" s="26"/>
      <c r="B34" s="27"/>
      <c r="C34" s="28"/>
      <c r="D34" s="30">
        <v>6.99</v>
      </c>
      <c r="E34" s="30">
        <v>6.99</v>
      </c>
      <c r="F34" s="30">
        <v>6.99</v>
      </c>
      <c r="G34" s="35">
        <f>SUM(D34,E34,F34)</f>
        <v>20.97</v>
      </c>
      <c r="H34" s="38">
        <f>AVERAGE(D34,E34,F34)</f>
        <v>6.99</v>
      </c>
      <c r="I34" s="24"/>
      <c r="J34" s="39">
        <v>0.83</v>
      </c>
      <c r="K34" s="40"/>
      <c r="L34" s="42">
        <f>H34*J34</f>
        <v>5.8017</v>
      </c>
      <c r="M34" s="6"/>
      <c r="N34" s="6"/>
      <c r="O34" s="6"/>
      <c r="P34" s="6"/>
      <c r="Q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21" t="s">
        <v>81</v>
      </c>
      <c r="F35" s="21" t="s">
        <v>82</v>
      </c>
      <c r="G35" s="23"/>
      <c r="H35" s="23"/>
      <c r="I35" s="24"/>
      <c r="J35" s="45"/>
      <c r="K35" s="47"/>
      <c r="L35" s="48"/>
      <c r="M35" s="6"/>
      <c r="N35" s="6"/>
      <c r="O35" s="6"/>
      <c r="P35" s="6"/>
      <c r="Q35" s="6"/>
    </row>
    <row r="36">
      <c r="A36" s="26"/>
      <c r="B36" s="27"/>
      <c r="C36" s="28"/>
      <c r="D36" s="30">
        <v>5.99</v>
      </c>
      <c r="E36" s="30">
        <v>5.69</v>
      </c>
      <c r="F36" s="30">
        <v>5.59</v>
      </c>
      <c r="G36" s="35">
        <f>SUM(D36,E36,F36)</f>
        <v>17.27</v>
      </c>
      <c r="H36" s="38">
        <f>AVERAGE(D36,E36,F36)</f>
        <v>5.756666667</v>
      </c>
      <c r="I36" s="24"/>
      <c r="J36" s="39">
        <v>7.5</v>
      </c>
      <c r="K36" s="40"/>
      <c r="L36" s="42">
        <f>H36*J36</f>
        <v>43.175</v>
      </c>
      <c r="M36" s="6"/>
      <c r="N36" s="6"/>
      <c r="O36" s="6"/>
      <c r="P36" s="6"/>
      <c r="Q36" s="6"/>
    </row>
    <row r="37">
      <c r="A37" s="15">
        <f>A35+1</f>
        <v>18</v>
      </c>
      <c r="B37" s="17" t="s">
        <v>83</v>
      </c>
      <c r="C37" s="19"/>
      <c r="D37" s="21" t="s">
        <v>80</v>
      </c>
      <c r="E37" s="21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  <c r="O37" s="6"/>
      <c r="P37" s="6"/>
      <c r="Q37" s="6"/>
    </row>
    <row r="38">
      <c r="A38" s="26"/>
      <c r="B38" s="27"/>
      <c r="C38" s="28"/>
      <c r="D38" s="30">
        <v>18.39</v>
      </c>
      <c r="E38" s="30">
        <v>18.99</v>
      </c>
      <c r="F38" s="30">
        <v>15.98</v>
      </c>
      <c r="G38" s="35">
        <f>SUM(D38,E38,F38)</f>
        <v>53.36</v>
      </c>
      <c r="H38" s="38">
        <f>AVERAGE(D38,E38,F38)</f>
        <v>17.78666667</v>
      </c>
      <c r="I38" s="24"/>
      <c r="J38" s="39">
        <v>0.0</v>
      </c>
      <c r="K38" s="40"/>
      <c r="L38" s="42">
        <f>H38*J38</f>
        <v>0</v>
      </c>
      <c r="M38" s="6"/>
      <c r="N38" s="6"/>
      <c r="O38" s="6"/>
      <c r="P38" s="6"/>
      <c r="Q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21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  <c r="O39" s="6"/>
      <c r="P39" s="6"/>
      <c r="Q39" s="6"/>
    </row>
    <row r="40">
      <c r="A40" s="26"/>
      <c r="B40" s="27"/>
      <c r="C40" s="28"/>
      <c r="D40" s="30">
        <v>4.69</v>
      </c>
      <c r="E40" s="30">
        <v>4.49</v>
      </c>
      <c r="F40" s="30">
        <v>4.29</v>
      </c>
      <c r="G40" s="35">
        <f>SUM(D40,E40,F40)</f>
        <v>13.47</v>
      </c>
      <c r="H40" s="38">
        <f>AVERAGE(D40,E40,F40)</f>
        <v>4.49</v>
      </c>
      <c r="I40" s="24"/>
      <c r="J40" s="39">
        <v>0.0</v>
      </c>
      <c r="K40" s="40"/>
      <c r="L40" s="42">
        <f>H40*J40</f>
        <v>0</v>
      </c>
      <c r="M40" s="6"/>
      <c r="N40" s="6"/>
      <c r="O40" s="6"/>
      <c r="P40" s="6"/>
      <c r="Q40" s="6"/>
    </row>
    <row r="41">
      <c r="A41" s="15">
        <f>A39+1</f>
        <v>20</v>
      </c>
      <c r="B41" s="17" t="s">
        <v>88</v>
      </c>
      <c r="C41" s="19"/>
      <c r="D41" s="44" t="s">
        <v>186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  <c r="O41" s="6"/>
      <c r="P41" s="6"/>
      <c r="Q41" s="6"/>
    </row>
    <row r="42">
      <c r="A42" s="26"/>
      <c r="B42" s="27"/>
      <c r="C42" s="28"/>
      <c r="D42" s="30">
        <v>3.99</v>
      </c>
      <c r="E42" s="30">
        <v>2.99</v>
      </c>
      <c r="F42" s="30">
        <v>4.29</v>
      </c>
      <c r="G42" s="35">
        <f>SUM(D42,E42,F42)</f>
        <v>11.27</v>
      </c>
      <c r="H42" s="38">
        <f>AVERAGE(D42,E42,F42)</f>
        <v>3.756666667</v>
      </c>
      <c r="I42" s="24"/>
      <c r="J42" s="39">
        <v>0.0</v>
      </c>
      <c r="K42" s="40"/>
      <c r="L42" s="42">
        <f>H42*J42</f>
        <v>0</v>
      </c>
      <c r="M42" s="6"/>
      <c r="N42" s="6"/>
      <c r="O42" s="6"/>
      <c r="P42" s="6"/>
      <c r="Q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  <c r="O43" s="6"/>
      <c r="P43" s="6"/>
      <c r="Q43" s="6"/>
    </row>
    <row r="44">
      <c r="A44" s="26"/>
      <c r="B44" s="27"/>
      <c r="C44" s="28"/>
      <c r="D44" s="30">
        <v>47.99</v>
      </c>
      <c r="E44" s="30">
        <v>50.99</v>
      </c>
      <c r="F44" s="30">
        <v>43.99</v>
      </c>
      <c r="G44" s="35">
        <f>SUM(D44,E44,F44)</f>
        <v>142.97</v>
      </c>
      <c r="H44" s="38">
        <f>AVERAGE(D44,E44,F44)</f>
        <v>47.65666667</v>
      </c>
      <c r="I44" s="24"/>
      <c r="J44" s="39">
        <v>3.0</v>
      </c>
      <c r="K44" s="40"/>
      <c r="L44" s="42">
        <f>H44*J44</f>
        <v>142.97</v>
      </c>
      <c r="M44" s="6"/>
      <c r="N44" s="6"/>
      <c r="O44" s="6"/>
      <c r="P44" s="6"/>
      <c r="Q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44" t="s">
        <v>188</v>
      </c>
      <c r="G45" s="23"/>
      <c r="H45" s="23"/>
      <c r="I45" s="24"/>
      <c r="J45" s="45"/>
      <c r="K45" s="47"/>
      <c r="L45" s="48"/>
      <c r="M45" s="6"/>
      <c r="N45" s="6"/>
      <c r="O45" s="6"/>
      <c r="P45" s="6"/>
      <c r="Q45" s="6"/>
    </row>
    <row r="46">
      <c r="A46" s="26"/>
      <c r="B46" s="27"/>
      <c r="C46" s="28"/>
      <c r="D46" s="30">
        <v>36.99</v>
      </c>
      <c r="E46" s="30">
        <v>22.99</v>
      </c>
      <c r="F46" s="30">
        <v>35.99</v>
      </c>
      <c r="G46" s="35">
        <f>SUM(D46,E46,F46)</f>
        <v>95.97</v>
      </c>
      <c r="H46" s="38">
        <f>AVERAGE(D46,E46,F46)</f>
        <v>31.99</v>
      </c>
      <c r="I46" s="24"/>
      <c r="J46" s="39">
        <v>3.0</v>
      </c>
      <c r="K46" s="40"/>
      <c r="L46" s="42">
        <f>H46*J46</f>
        <v>95.97</v>
      </c>
      <c r="M46" s="6"/>
      <c r="N46" s="6"/>
      <c r="O46" s="6"/>
      <c r="P46" s="6"/>
      <c r="Q46" s="6"/>
    </row>
    <row r="47">
      <c r="A47" s="15">
        <f>A45+1</f>
        <v>23</v>
      </c>
      <c r="B47" s="17" t="s">
        <v>104</v>
      </c>
      <c r="C47" s="19"/>
      <c r="D47" s="44" t="s">
        <v>116</v>
      </c>
      <c r="E47" s="44" t="s">
        <v>189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  <c r="O47" s="6"/>
      <c r="P47" s="6"/>
      <c r="Q47" s="6"/>
    </row>
    <row r="48">
      <c r="A48" s="26"/>
      <c r="B48" s="27"/>
      <c r="C48" s="28"/>
      <c r="D48" s="30">
        <v>9.99</v>
      </c>
      <c r="E48" s="113">
        <v>8.99</v>
      </c>
      <c r="F48" s="62"/>
      <c r="G48" s="35">
        <f>SUM(D48,E48,F48)</f>
        <v>18.98</v>
      </c>
      <c r="H48" s="38">
        <f>AVERAGE(D48,E48,F48)</f>
        <v>9.49</v>
      </c>
      <c r="I48" s="24"/>
      <c r="J48" s="39">
        <v>0.0</v>
      </c>
      <c r="K48" s="40"/>
      <c r="L48" s="42">
        <f>H48*J48</f>
        <v>0</v>
      </c>
      <c r="M48" s="6"/>
      <c r="N48" s="6"/>
      <c r="O48" s="6"/>
      <c r="P48" s="6"/>
      <c r="Q48" s="6"/>
    </row>
    <row r="49">
      <c r="A49" s="15">
        <f>A47+1</f>
        <v>24</v>
      </c>
      <c r="B49" s="17" t="s">
        <v>108</v>
      </c>
      <c r="C49" s="19"/>
      <c r="D49" s="21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  <c r="O49" s="6"/>
      <c r="P49" s="6"/>
      <c r="Q49" s="6"/>
    </row>
    <row r="50">
      <c r="A50" s="26"/>
      <c r="B50" s="27"/>
      <c r="C50" s="28"/>
      <c r="D50" s="30">
        <v>6.98</v>
      </c>
      <c r="E50" s="30">
        <v>7.98</v>
      </c>
      <c r="F50" s="30">
        <v>8.98</v>
      </c>
      <c r="G50" s="35">
        <f>SUM(D50,E50,F50)</f>
        <v>23.94</v>
      </c>
      <c r="H50" s="38">
        <f>AVERAGE(D50,E50,F50)</f>
        <v>7.98</v>
      </c>
      <c r="I50" s="24"/>
      <c r="J50" s="39">
        <v>0.0</v>
      </c>
      <c r="K50" s="40"/>
      <c r="L50" s="42">
        <f>H50*J50</f>
        <v>0</v>
      </c>
      <c r="M50" s="6"/>
      <c r="N50" s="6"/>
      <c r="O50" s="6"/>
      <c r="P50" s="6"/>
      <c r="Q50" s="6"/>
    </row>
    <row r="51">
      <c r="A51" s="15">
        <f>A49+1</f>
        <v>25</v>
      </c>
      <c r="B51" s="17" t="s">
        <v>110</v>
      </c>
      <c r="C51" s="19"/>
      <c r="D51" s="21" t="s">
        <v>105</v>
      </c>
      <c r="E51" s="44" t="s">
        <v>106</v>
      </c>
      <c r="F51" s="44" t="s">
        <v>111</v>
      </c>
      <c r="G51" s="23"/>
      <c r="H51" s="23"/>
      <c r="I51" s="24"/>
      <c r="J51" s="45"/>
      <c r="K51" s="47"/>
      <c r="L51" s="48"/>
      <c r="M51" s="6"/>
      <c r="N51" s="6"/>
      <c r="O51" s="6"/>
      <c r="P51" s="6"/>
      <c r="Q51" s="6"/>
    </row>
    <row r="52">
      <c r="A52" s="26"/>
      <c r="B52" s="27"/>
      <c r="C52" s="28"/>
      <c r="D52" s="30">
        <v>17.44</v>
      </c>
      <c r="E52" s="30">
        <v>20.9</v>
      </c>
      <c r="F52" s="30">
        <v>13.98</v>
      </c>
      <c r="G52" s="35">
        <f>SUM(D52,E52,F52)</f>
        <v>52.32</v>
      </c>
      <c r="H52" s="38">
        <f>AVERAGE(D52,E52,F52)</f>
        <v>17.44</v>
      </c>
      <c r="I52" s="24"/>
      <c r="J52" s="39">
        <v>0.0</v>
      </c>
      <c r="K52" s="40"/>
      <c r="L52" s="42">
        <f>H52*J52</f>
        <v>0</v>
      </c>
      <c r="M52" s="6"/>
      <c r="N52" s="6"/>
      <c r="O52" s="6"/>
      <c r="P52" s="6"/>
      <c r="Q52" s="6"/>
    </row>
    <row r="53">
      <c r="A53" s="15">
        <f>A51+1</f>
        <v>26</v>
      </c>
      <c r="B53" s="17" t="s">
        <v>112</v>
      </c>
      <c r="C53" s="19"/>
      <c r="D53" s="44" t="s">
        <v>130</v>
      </c>
      <c r="E53" s="44" t="s">
        <v>192</v>
      </c>
      <c r="F53" s="21" t="s">
        <v>114</v>
      </c>
      <c r="G53" s="23"/>
      <c r="H53" s="23"/>
      <c r="I53" s="24"/>
      <c r="J53" s="45"/>
      <c r="K53" s="47"/>
      <c r="L53" s="48"/>
      <c r="M53" s="6"/>
      <c r="N53" s="6"/>
      <c r="O53" s="6"/>
      <c r="P53" s="6"/>
      <c r="Q53" s="6"/>
    </row>
    <row r="54">
      <c r="A54" s="26"/>
      <c r="B54" s="27"/>
      <c r="C54" s="28"/>
      <c r="D54" s="30">
        <v>85.99</v>
      </c>
      <c r="E54" s="30">
        <v>42.99</v>
      </c>
      <c r="F54" s="30">
        <v>64.49</v>
      </c>
      <c r="G54" s="35">
        <f>SUM(D54,E54,F54)</f>
        <v>193.47</v>
      </c>
      <c r="H54" s="38">
        <f>AVERAGE(D54,E54,F54)</f>
        <v>64.49</v>
      </c>
      <c r="I54" s="64"/>
      <c r="J54" s="65">
        <v>0.0</v>
      </c>
      <c r="K54" s="64"/>
      <c r="L54" s="42">
        <f>H54*J54</f>
        <v>0</v>
      </c>
      <c r="M54" s="6"/>
      <c r="N54" s="6"/>
      <c r="O54" s="6"/>
      <c r="P54" s="6"/>
      <c r="Q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>
        <f>SUM(H4:H54)</f>
        <v>381.1216667</v>
      </c>
      <c r="I55" s="64"/>
      <c r="J55" s="69" t="s">
        <v>9</v>
      </c>
      <c r="K55" s="28"/>
      <c r="L55" s="70">
        <f>SUM(L4:L54)</f>
        <v>683.7097</v>
      </c>
      <c r="M55" s="6"/>
      <c r="N55" s="6"/>
      <c r="O55" s="6"/>
      <c r="P55" s="6"/>
      <c r="Q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  <c r="O56" s="6"/>
      <c r="P56" s="6"/>
      <c r="Q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  <c r="O57" s="6"/>
      <c r="P57" s="6"/>
      <c r="Q57" s="6"/>
    </row>
    <row r="58">
      <c r="A58" s="26"/>
      <c r="B58" s="27"/>
      <c r="C58" s="28"/>
      <c r="D58" s="30">
        <v>5.99</v>
      </c>
      <c r="E58" s="30">
        <v>11.9</v>
      </c>
      <c r="F58" s="30">
        <v>8.69</v>
      </c>
      <c r="G58" s="35">
        <f>SUM(D58,E58,F58)</f>
        <v>26.58</v>
      </c>
      <c r="H58" s="38">
        <f>AVERAGE(D58,E58,F58)</f>
        <v>8.86</v>
      </c>
      <c r="I58" s="24"/>
      <c r="J58" s="73">
        <v>4.0</v>
      </c>
      <c r="K58" s="40"/>
      <c r="L58" s="42">
        <f>H58*J58</f>
        <v>35.44</v>
      </c>
      <c r="M58" s="6"/>
      <c r="N58" s="6"/>
      <c r="O58" s="6"/>
      <c r="P58" s="6"/>
      <c r="Q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  <c r="O59" s="6"/>
      <c r="P59" s="6"/>
      <c r="Q59" s="6"/>
    </row>
    <row r="60">
      <c r="A60" s="26"/>
      <c r="B60" s="27"/>
      <c r="C60" s="28"/>
      <c r="D60" s="30">
        <v>3.19</v>
      </c>
      <c r="E60" s="30">
        <v>3.19</v>
      </c>
      <c r="F60" s="62"/>
      <c r="G60" s="35">
        <f>SUM(D60,E60,F60)</f>
        <v>6.38</v>
      </c>
      <c r="H60" s="38">
        <f>AVERAGE(D60,E60,F60)</f>
        <v>3.19</v>
      </c>
      <c r="I60" s="24"/>
      <c r="J60" s="73">
        <v>15.0</v>
      </c>
      <c r="K60" s="40"/>
      <c r="L60" s="42">
        <f>H60*J60</f>
        <v>47.85</v>
      </c>
      <c r="M60" s="6"/>
      <c r="N60" s="6"/>
      <c r="O60" s="6"/>
      <c r="P60" s="6"/>
      <c r="Q60" s="6"/>
    </row>
    <row r="61">
      <c r="A61" s="15">
        <f>A59+1</f>
        <v>29</v>
      </c>
      <c r="B61" s="17" t="s">
        <v>127</v>
      </c>
      <c r="C61" s="19"/>
      <c r="D61" s="21" t="s">
        <v>194</v>
      </c>
      <c r="E61" s="21" t="s">
        <v>128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  <c r="O61" s="6"/>
      <c r="P61" s="6"/>
      <c r="Q61" s="6"/>
    </row>
    <row r="62">
      <c r="A62" s="26"/>
      <c r="B62" s="27"/>
      <c r="C62" s="28"/>
      <c r="D62" s="30">
        <v>3.29</v>
      </c>
      <c r="E62" s="30" t="s">
        <v>195</v>
      </c>
      <c r="F62" s="30">
        <v>4.39</v>
      </c>
      <c r="G62" s="35">
        <f>SUM(D62,E62,F62)</f>
        <v>7.68</v>
      </c>
      <c r="H62" s="38">
        <f>AVERAGE(D62,E62,F62)</f>
        <v>3.84</v>
      </c>
      <c r="I62" s="24"/>
      <c r="J62" s="73">
        <v>2.0</v>
      </c>
      <c r="K62" s="40"/>
      <c r="L62" s="42">
        <f>H62*J62</f>
        <v>7.68</v>
      </c>
      <c r="M62" s="6"/>
      <c r="N62" s="6"/>
      <c r="O62" s="6"/>
      <c r="P62" s="6"/>
      <c r="Q62" s="6"/>
    </row>
    <row r="63">
      <c r="A63" s="15">
        <f>A61+1</f>
        <v>30</v>
      </c>
      <c r="B63" s="17" t="s">
        <v>131</v>
      </c>
      <c r="C63" s="19"/>
      <c r="D63" s="21" t="s">
        <v>196</v>
      </c>
      <c r="E63" s="44" t="s">
        <v>124</v>
      </c>
      <c r="F63" s="21" t="s">
        <v>132</v>
      </c>
      <c r="G63" s="23"/>
      <c r="H63" s="23"/>
      <c r="I63" s="24"/>
      <c r="J63" s="47"/>
      <c r="K63" s="27"/>
      <c r="L63" s="67"/>
      <c r="M63" s="6"/>
      <c r="N63" s="6"/>
      <c r="O63" s="6"/>
      <c r="P63" s="6"/>
      <c r="Q63" s="6"/>
    </row>
    <row r="64">
      <c r="A64" s="26"/>
      <c r="B64" s="27"/>
      <c r="C64" s="28"/>
      <c r="D64" s="30">
        <v>2.74</v>
      </c>
      <c r="E64" s="30">
        <v>2.99</v>
      </c>
      <c r="F64" s="30">
        <v>2.49</v>
      </c>
      <c r="G64" s="35">
        <f>SUM(D64,E64,F64)</f>
        <v>8.22</v>
      </c>
      <c r="H64" s="38">
        <f>AVERAGE(D64,E64,F64)</f>
        <v>2.74</v>
      </c>
      <c r="I64" s="64"/>
      <c r="J64" s="73">
        <v>2.0</v>
      </c>
      <c r="K64" s="40"/>
      <c r="L64" s="42">
        <f>H64*J64</f>
        <v>5.48</v>
      </c>
      <c r="M64" s="6"/>
      <c r="N64" s="6"/>
      <c r="O64" s="6"/>
      <c r="P64" s="6"/>
      <c r="Q64" s="6"/>
    </row>
    <row r="65">
      <c r="A65" s="114" t="s">
        <v>115</v>
      </c>
      <c r="B65" s="27"/>
      <c r="C65" s="27"/>
      <c r="D65" s="27"/>
      <c r="E65" s="27"/>
      <c r="F65" s="27"/>
      <c r="G65" s="67"/>
      <c r="H65" s="68">
        <f>SUM(H57:H64)</f>
        <v>18.63</v>
      </c>
      <c r="I65" s="64"/>
      <c r="J65" s="69" t="s">
        <v>9</v>
      </c>
      <c r="K65" s="28"/>
      <c r="L65" s="70">
        <f>SUM(L57:L64)</f>
        <v>96.45</v>
      </c>
      <c r="M65" s="6"/>
      <c r="N65" s="6"/>
      <c r="O65" s="6"/>
      <c r="P65" s="6"/>
      <c r="Q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  <c r="O66" s="6"/>
      <c r="P66" s="6"/>
      <c r="Q66" s="6"/>
    </row>
    <row r="67">
      <c r="A67" s="15">
        <f>A63+1</f>
        <v>31</v>
      </c>
      <c r="B67" s="17" t="s">
        <v>136</v>
      </c>
      <c r="C67" s="19"/>
      <c r="D67" s="21" t="s">
        <v>157</v>
      </c>
      <c r="E67" s="21" t="s">
        <v>138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  <c r="O67" s="6"/>
      <c r="P67" s="6"/>
      <c r="Q67" s="6"/>
    </row>
    <row r="68">
      <c r="A68" s="26"/>
      <c r="B68" s="27"/>
      <c r="C68" s="28"/>
      <c r="D68" s="30">
        <v>4.39</v>
      </c>
      <c r="E68" s="30">
        <v>5.99</v>
      </c>
      <c r="F68" s="30">
        <v>7.89</v>
      </c>
      <c r="G68" s="35">
        <f>SUM(D68,E68,F68)</f>
        <v>18.27</v>
      </c>
      <c r="H68" s="38">
        <f>AVERAGE(D68,E68,F68)</f>
        <v>6.09</v>
      </c>
      <c r="I68" s="24"/>
      <c r="J68" s="73">
        <v>3.0</v>
      </c>
      <c r="K68" s="40"/>
      <c r="L68" s="42">
        <f>H68*J68</f>
        <v>18.27</v>
      </c>
      <c r="M68" s="6"/>
      <c r="N68" s="6"/>
      <c r="O68" s="6"/>
      <c r="P68" s="6"/>
      <c r="Q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  <c r="O69" s="6"/>
      <c r="P69" s="6"/>
      <c r="Q69" s="6"/>
    </row>
    <row r="70">
      <c r="A70" s="26"/>
      <c r="B70" s="27"/>
      <c r="C70" s="28"/>
      <c r="D70" s="30">
        <v>6.79</v>
      </c>
      <c r="E70" s="30">
        <v>4.39</v>
      </c>
      <c r="F70" s="62"/>
      <c r="G70" s="35">
        <f>SUM(D70,E70,F70)</f>
        <v>11.18</v>
      </c>
      <c r="H70" s="38">
        <f>AVERAGE(D70,E70,F70)</f>
        <v>5.59</v>
      </c>
      <c r="I70" s="24"/>
      <c r="J70" s="73">
        <v>2.0</v>
      </c>
      <c r="K70" s="40"/>
      <c r="L70" s="42">
        <f>H70*J70</f>
        <v>11.18</v>
      </c>
      <c r="M70" s="6"/>
      <c r="N70" s="6"/>
      <c r="O70" s="6"/>
      <c r="P70" s="6"/>
      <c r="Q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  <c r="O71" s="6"/>
      <c r="P71" s="6"/>
      <c r="Q71" s="6"/>
    </row>
    <row r="72">
      <c r="A72" s="26"/>
      <c r="B72" s="27"/>
      <c r="C72" s="28"/>
      <c r="D72" s="30">
        <v>2.79</v>
      </c>
      <c r="E72" s="30">
        <v>2.69</v>
      </c>
      <c r="F72" s="62"/>
      <c r="G72" s="35">
        <f>SUM(D72,E72,F72)</f>
        <v>5.48</v>
      </c>
      <c r="H72" s="38">
        <f>AVERAGE(D72,E72,F72)</f>
        <v>2.74</v>
      </c>
      <c r="I72" s="24"/>
      <c r="J72" s="73">
        <v>10.0</v>
      </c>
      <c r="K72" s="40"/>
      <c r="L72" s="42">
        <f>H72*J72</f>
        <v>27.4</v>
      </c>
      <c r="M72" s="6"/>
      <c r="N72" s="6"/>
      <c r="O72" s="6"/>
      <c r="P72" s="6"/>
      <c r="Q72" s="6"/>
    </row>
    <row r="73">
      <c r="A73" s="15">
        <f>A71+1</f>
        <v>34</v>
      </c>
      <c r="B73" s="17" t="s">
        <v>149</v>
      </c>
      <c r="C73" s="19"/>
      <c r="D73" s="44" t="s">
        <v>163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  <c r="O73" s="6"/>
      <c r="P73" s="6"/>
      <c r="Q73" s="6"/>
    </row>
    <row r="74">
      <c r="A74" s="26"/>
      <c r="B74" s="27"/>
      <c r="C74" s="28"/>
      <c r="D74" s="30">
        <v>16.99</v>
      </c>
      <c r="E74" s="30">
        <v>11.29</v>
      </c>
      <c r="F74" s="62"/>
      <c r="G74" s="35">
        <f>SUM(D74,E74,F74)</f>
        <v>28.28</v>
      </c>
      <c r="H74" s="38">
        <f>AVERAGE(D74,E74,F74)</f>
        <v>14.14</v>
      </c>
      <c r="I74" s="24"/>
      <c r="J74" s="73">
        <v>2.0</v>
      </c>
      <c r="K74" s="40"/>
      <c r="L74" s="42">
        <f>H74*J74</f>
        <v>28.28</v>
      </c>
      <c r="M74" s="6"/>
      <c r="N74" s="6"/>
      <c r="O74" s="6"/>
      <c r="P74" s="6"/>
      <c r="Q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  <c r="O75" s="6"/>
      <c r="P75" s="6"/>
      <c r="Q75" s="6"/>
    </row>
    <row r="76">
      <c r="A76" s="26"/>
      <c r="B76" s="27"/>
      <c r="C76" s="28"/>
      <c r="D76" s="30">
        <v>3.29</v>
      </c>
      <c r="E76" s="30">
        <v>7.29</v>
      </c>
      <c r="F76" s="62"/>
      <c r="G76" s="35">
        <f>SUM(D76,E76,F76)</f>
        <v>10.58</v>
      </c>
      <c r="H76" s="38">
        <f>AVERAGE(D76,E76,F76)</f>
        <v>5.29</v>
      </c>
      <c r="I76" s="64"/>
      <c r="J76" s="73">
        <v>1.0</v>
      </c>
      <c r="K76" s="40"/>
      <c r="L76" s="42">
        <f>H76*J76</f>
        <v>5.29</v>
      </c>
      <c r="M76" s="6"/>
      <c r="N76" s="6"/>
      <c r="O76" s="6"/>
      <c r="P76" s="6"/>
      <c r="Q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33.85</v>
      </c>
      <c r="I77" s="64"/>
      <c r="J77" s="69" t="s">
        <v>9</v>
      </c>
      <c r="K77" s="28"/>
      <c r="L77" s="70">
        <f>SUM(L68:L76)</f>
        <v>90.42</v>
      </c>
      <c r="M77" s="6"/>
      <c r="N77" s="6"/>
      <c r="O77" s="6"/>
      <c r="P77" s="6"/>
      <c r="Q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  <c r="O78" s="6"/>
      <c r="P78" s="6"/>
      <c r="Q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  <c r="O79" s="6"/>
      <c r="P79" s="6"/>
      <c r="Q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433.6016667</v>
      </c>
      <c r="I80" s="6"/>
      <c r="J80" s="24"/>
      <c r="K80" s="81" t="s">
        <v>9</v>
      </c>
      <c r="L80" s="70">
        <f>L55+L65+L77</f>
        <v>870.5797</v>
      </c>
      <c r="M80" s="6"/>
      <c r="N80" s="6"/>
      <c r="O80" s="6"/>
      <c r="P80" s="6"/>
      <c r="Q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75"/>
      <c r="I83" s="6"/>
      <c r="J83" s="6"/>
      <c r="K83" s="6"/>
      <c r="L83" s="75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</row>
    <row r="2">
      <c r="A2" s="8" t="s">
        <v>190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</row>
    <row r="3">
      <c r="A3" s="15">
        <v>1.0</v>
      </c>
      <c r="B3" s="17" t="s">
        <v>5</v>
      </c>
      <c r="C3" s="19"/>
      <c r="D3" s="21" t="s">
        <v>191</v>
      </c>
      <c r="E3" s="21" t="s">
        <v>7</v>
      </c>
      <c r="F3" s="44" t="s">
        <v>6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</row>
    <row r="4">
      <c r="A4" s="26"/>
      <c r="B4" s="27"/>
      <c r="C4" s="28"/>
      <c r="D4" s="30">
        <v>14.49</v>
      </c>
      <c r="E4" s="30">
        <v>18.99</v>
      </c>
      <c r="F4" s="30">
        <v>20.49</v>
      </c>
      <c r="G4" s="35">
        <f>SUM(D4,E4,F4)</f>
        <v>53.97</v>
      </c>
      <c r="H4" s="38">
        <f>AVERAGE(D4,E4,F4)</f>
        <v>17.99</v>
      </c>
      <c r="I4" s="24"/>
      <c r="J4" s="39">
        <v>0.6</v>
      </c>
      <c r="K4" s="40" t="s">
        <v>15</v>
      </c>
      <c r="L4" s="42">
        <f>H4*J4</f>
        <v>10.794</v>
      </c>
      <c r="M4" s="6"/>
      <c r="N4" s="6"/>
    </row>
    <row r="5">
      <c r="A5" s="15">
        <f>A3+1</f>
        <v>2</v>
      </c>
      <c r="B5" s="17" t="s">
        <v>16</v>
      </c>
      <c r="C5" s="19"/>
      <c r="D5" s="21" t="s">
        <v>6</v>
      </c>
      <c r="E5" s="44" t="s">
        <v>193</v>
      </c>
      <c r="F5" s="21" t="s">
        <v>18</v>
      </c>
      <c r="G5" s="23"/>
      <c r="H5" s="23"/>
      <c r="I5" s="24"/>
      <c r="J5" s="45"/>
      <c r="K5" s="47"/>
      <c r="L5" s="48"/>
      <c r="M5" s="6"/>
      <c r="N5" s="6"/>
    </row>
    <row r="6">
      <c r="A6" s="26"/>
      <c r="B6" s="27"/>
      <c r="C6" s="28"/>
      <c r="D6" s="30">
        <v>11.29</v>
      </c>
      <c r="E6" s="30">
        <v>9.49</v>
      </c>
      <c r="F6" s="30">
        <v>10.39</v>
      </c>
      <c r="G6" s="35">
        <f>SUM(D6,E6,F6)</f>
        <v>31.17</v>
      </c>
      <c r="H6" s="38">
        <f>AVERAGE(D6,E6,F6)</f>
        <v>10.39</v>
      </c>
      <c r="I6" s="24"/>
      <c r="J6" s="39">
        <v>4.0</v>
      </c>
      <c r="K6" s="40"/>
      <c r="L6" s="42">
        <f>H6*J6</f>
        <v>41.56</v>
      </c>
      <c r="M6" s="6"/>
      <c r="N6" s="6"/>
    </row>
    <row r="7">
      <c r="A7" s="15">
        <f>A5+1</f>
        <v>3</v>
      </c>
      <c r="B7" s="17" t="s">
        <v>23</v>
      </c>
      <c r="C7" s="19"/>
      <c r="D7" s="21" t="s">
        <v>24</v>
      </c>
      <c r="E7" s="44" t="s">
        <v>14</v>
      </c>
      <c r="F7" s="21" t="s">
        <v>26</v>
      </c>
      <c r="G7" s="23"/>
      <c r="H7" s="23"/>
      <c r="I7" s="24"/>
      <c r="J7" s="45"/>
      <c r="K7" s="47"/>
      <c r="L7" s="48"/>
      <c r="M7" s="6"/>
      <c r="N7" s="6"/>
    </row>
    <row r="8">
      <c r="A8" s="26"/>
      <c r="B8" s="27"/>
      <c r="C8" s="28"/>
      <c r="D8" s="30">
        <v>13.99</v>
      </c>
      <c r="E8" s="30">
        <v>13.99</v>
      </c>
      <c r="F8" s="30">
        <v>13.99</v>
      </c>
      <c r="G8" s="35">
        <f>SUM(D8,E8,F8)</f>
        <v>41.97</v>
      </c>
      <c r="H8" s="38">
        <f>AVERAGE(D8,E8,F8)</f>
        <v>13.99</v>
      </c>
      <c r="I8" s="24"/>
      <c r="J8" s="39">
        <v>0.6</v>
      </c>
      <c r="K8" s="40"/>
      <c r="L8" s="42">
        <f>H8*J8</f>
        <v>8.394</v>
      </c>
      <c r="M8" s="6"/>
      <c r="N8" s="6"/>
    </row>
    <row r="9">
      <c r="A9" s="15">
        <f>A7+1</f>
        <v>4</v>
      </c>
      <c r="B9" s="17" t="s">
        <v>28</v>
      </c>
      <c r="C9" s="19"/>
      <c r="D9" s="44" t="s">
        <v>29</v>
      </c>
      <c r="E9" s="21" t="s">
        <v>30</v>
      </c>
      <c r="F9" s="44" t="s">
        <v>197</v>
      </c>
      <c r="G9" s="23"/>
      <c r="H9" s="23"/>
      <c r="I9" s="24"/>
      <c r="J9" s="45"/>
      <c r="K9" s="47"/>
      <c r="L9" s="48"/>
      <c r="M9" s="6"/>
      <c r="N9" s="6"/>
    </row>
    <row r="10">
      <c r="A10" s="26"/>
      <c r="B10" s="27"/>
      <c r="C10" s="28"/>
      <c r="D10" s="30">
        <v>61.89</v>
      </c>
      <c r="E10" s="30">
        <v>27.9</v>
      </c>
      <c r="F10" s="30">
        <v>33.99</v>
      </c>
      <c r="G10" s="35">
        <f>SUM(D10,E10,F10)</f>
        <v>123.78</v>
      </c>
      <c r="H10" s="38">
        <f>AVERAGE(D10,E10,F10)</f>
        <v>41.26</v>
      </c>
      <c r="I10" s="24"/>
      <c r="J10" s="39">
        <v>1.2</v>
      </c>
      <c r="K10" s="40"/>
      <c r="L10" s="42">
        <f>H10*J10</f>
        <v>49.512</v>
      </c>
      <c r="M10" s="6"/>
      <c r="N10" s="6"/>
    </row>
    <row r="11">
      <c r="A11" s="15">
        <f>A9+1</f>
        <v>5</v>
      </c>
      <c r="B11" s="17" t="s">
        <v>34</v>
      </c>
      <c r="C11" s="19"/>
      <c r="D11" s="21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</row>
    <row r="12">
      <c r="A12" s="26"/>
      <c r="B12" s="27"/>
      <c r="C12" s="28"/>
      <c r="D12" s="30">
        <v>4.59</v>
      </c>
      <c r="E12" s="30">
        <v>5.04</v>
      </c>
      <c r="F12" s="30">
        <v>5.49</v>
      </c>
      <c r="G12" s="35">
        <f>SUM(D12,E12,F12)</f>
        <v>15.12</v>
      </c>
      <c r="H12" s="38">
        <f>AVERAGE(D12,E12,F12)</f>
        <v>5.04</v>
      </c>
      <c r="I12" s="24"/>
      <c r="J12" s="39">
        <v>0.0</v>
      </c>
      <c r="K12" s="40"/>
      <c r="L12" s="42">
        <f>H12*J12</f>
        <v>0</v>
      </c>
      <c r="M12" s="6"/>
      <c r="N12" s="6"/>
    </row>
    <row r="13">
      <c r="A13" s="15">
        <f>A11+1</f>
        <v>6</v>
      </c>
      <c r="B13" s="17" t="s">
        <v>38</v>
      </c>
      <c r="C13" s="19"/>
      <c r="D13" s="21" t="s">
        <v>39</v>
      </c>
      <c r="E13" s="44" t="s">
        <v>198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</row>
    <row r="14">
      <c r="A14" s="26"/>
      <c r="B14" s="27"/>
      <c r="C14" s="28"/>
      <c r="D14" s="30">
        <v>5.59</v>
      </c>
      <c r="E14" s="30">
        <v>7.79</v>
      </c>
      <c r="F14" s="30">
        <v>9.99</v>
      </c>
      <c r="G14" s="35">
        <f>SUM(D14,E14,F14)</f>
        <v>23.37</v>
      </c>
      <c r="H14" s="38">
        <f>AVERAGE(D14,E14,F14)</f>
        <v>7.79</v>
      </c>
      <c r="I14" s="24"/>
      <c r="J14" s="39">
        <v>1.0</v>
      </c>
      <c r="K14" s="40"/>
      <c r="L14" s="42">
        <f>H14*J14</f>
        <v>7.79</v>
      </c>
      <c r="M14" s="6"/>
      <c r="N14" s="6"/>
    </row>
    <row r="15">
      <c r="A15" s="15">
        <f>A13+1</f>
        <v>7</v>
      </c>
      <c r="B15" s="17" t="s">
        <v>43</v>
      </c>
      <c r="C15" s="19"/>
      <c r="D15" s="21" t="s">
        <v>45</v>
      </c>
      <c r="E15" s="44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</row>
    <row r="16">
      <c r="A16" s="26"/>
      <c r="B16" s="27"/>
      <c r="C16" s="28"/>
      <c r="D16" s="30">
        <v>8.98</v>
      </c>
      <c r="E16" s="62"/>
      <c r="F16" s="62"/>
      <c r="G16" s="35">
        <f>SUM(D16,E16,F16)</f>
        <v>8.98</v>
      </c>
      <c r="H16" s="38">
        <f>AVERAGE(D16,E16,F16)</f>
        <v>8.98</v>
      </c>
      <c r="I16" s="24"/>
      <c r="J16" s="39">
        <v>6.0</v>
      </c>
      <c r="K16" s="40"/>
      <c r="L16" s="42">
        <f>H16*J16</f>
        <v>53.88</v>
      </c>
      <c r="M16" s="6"/>
      <c r="N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</row>
    <row r="18">
      <c r="A18" s="26"/>
      <c r="B18" s="27"/>
      <c r="C18" s="28"/>
      <c r="D18" s="30">
        <v>7.79</v>
      </c>
      <c r="E18" s="62"/>
      <c r="F18" s="62"/>
      <c r="G18" s="35">
        <f>SUM(D18,E18,F18)</f>
        <v>7.79</v>
      </c>
      <c r="H18" s="38">
        <f>AVERAGE(D18,E18,F18)</f>
        <v>7.79</v>
      </c>
      <c r="I18" s="24"/>
      <c r="J18" s="39">
        <v>0.0</v>
      </c>
      <c r="K18" s="40"/>
      <c r="L18" s="42">
        <f>H18*J18</f>
        <v>0</v>
      </c>
      <c r="M18" s="6"/>
      <c r="N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</row>
    <row r="20">
      <c r="A20" s="26"/>
      <c r="B20" s="27"/>
      <c r="C20" s="28"/>
      <c r="D20" s="30">
        <v>10.98</v>
      </c>
      <c r="E20" s="62"/>
      <c r="F20" s="62"/>
      <c r="G20" s="35">
        <f>SUM(D20,E20,F20)</f>
        <v>10.98</v>
      </c>
      <c r="H20" s="38">
        <f>AVERAGE(D20,E20,F20)</f>
        <v>10.98</v>
      </c>
      <c r="I20" s="24"/>
      <c r="J20" s="39">
        <v>9.0</v>
      </c>
      <c r="K20" s="40"/>
      <c r="L20" s="42">
        <f>H20*J20</f>
        <v>98.82</v>
      </c>
      <c r="M20" s="6"/>
      <c r="N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</row>
    <row r="22">
      <c r="A22" s="26"/>
      <c r="B22" s="27"/>
      <c r="C22" s="28"/>
      <c r="D22" s="30">
        <v>17.98</v>
      </c>
      <c r="E22" s="62"/>
      <c r="F22" s="62"/>
      <c r="G22" s="35">
        <f>SUM(D22,E22,F22)</f>
        <v>17.98</v>
      </c>
      <c r="H22" s="38">
        <f>AVERAGE(D22,E22,F22)</f>
        <v>17.98</v>
      </c>
      <c r="I22" s="24"/>
      <c r="J22" s="39">
        <v>0.0</v>
      </c>
      <c r="K22" s="40"/>
      <c r="L22" s="42">
        <f>H22*J22</f>
        <v>0</v>
      </c>
      <c r="M22" s="6"/>
      <c r="N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</row>
    <row r="24">
      <c r="A24" s="26"/>
      <c r="B24" s="27"/>
      <c r="C24" s="28"/>
      <c r="D24" s="30">
        <v>9.98</v>
      </c>
      <c r="E24" s="30">
        <v>9.98</v>
      </c>
      <c r="F24" s="62"/>
      <c r="G24" s="35">
        <f>SUM(D24,E24,F24)</f>
        <v>19.96</v>
      </c>
      <c r="H24" s="38">
        <f>AVERAGE(D24,E24,F24)</f>
        <v>9.98</v>
      </c>
      <c r="I24" s="24"/>
      <c r="J24" s="39">
        <v>0.0</v>
      </c>
      <c r="K24" s="40"/>
      <c r="L24" s="42">
        <f>H24*J24</f>
        <v>0</v>
      </c>
      <c r="M24" s="6"/>
      <c r="N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</row>
    <row r="26">
      <c r="A26" s="26"/>
      <c r="B26" s="27"/>
      <c r="C26" s="28"/>
      <c r="D26" s="30">
        <v>6.89</v>
      </c>
      <c r="E26" s="30">
        <v>6.2</v>
      </c>
      <c r="F26" s="30">
        <v>5.5</v>
      </c>
      <c r="G26" s="35">
        <f>SUM(D26,E26,F26)</f>
        <v>18.59</v>
      </c>
      <c r="H26" s="38">
        <f>AVERAGE(D26,E26,F26)</f>
        <v>6.196666667</v>
      </c>
      <c r="I26" s="24"/>
      <c r="J26" s="39">
        <v>3.0</v>
      </c>
      <c r="K26" s="40"/>
      <c r="L26" s="42">
        <f>H26*J26</f>
        <v>18.59</v>
      </c>
      <c r="M26" s="6"/>
      <c r="N26" s="6"/>
    </row>
    <row r="27">
      <c r="A27" s="15">
        <f>A25+1</f>
        <v>13</v>
      </c>
      <c r="B27" s="17" t="s">
        <v>64</v>
      </c>
      <c r="C27" s="19"/>
      <c r="D27" s="44" t="s">
        <v>65</v>
      </c>
      <c r="E27" s="44" t="s">
        <v>202</v>
      </c>
      <c r="F27" s="44" t="s">
        <v>67</v>
      </c>
      <c r="G27" s="23"/>
      <c r="H27" s="23"/>
      <c r="I27" s="24"/>
      <c r="J27" s="45"/>
      <c r="K27" s="47"/>
      <c r="L27" s="48"/>
      <c r="M27" s="6"/>
      <c r="N27" s="6"/>
    </row>
    <row r="28">
      <c r="A28" s="26"/>
      <c r="B28" s="27"/>
      <c r="C28" s="28"/>
      <c r="D28" s="30">
        <v>3.24</v>
      </c>
      <c r="E28" s="30">
        <v>2.99</v>
      </c>
      <c r="F28" s="115">
        <v>3.49</v>
      </c>
      <c r="G28" s="35">
        <f>SUM(D28,E28,F28)</f>
        <v>9.72</v>
      </c>
      <c r="H28" s="38">
        <f>AVERAGE(D28,E28,F28)</f>
        <v>3.24</v>
      </c>
      <c r="I28" s="24"/>
      <c r="J28" s="39">
        <v>0.0</v>
      </c>
      <c r="K28" s="40"/>
      <c r="L28" s="42">
        <f>H28*J28</f>
        <v>0</v>
      </c>
      <c r="M28" s="6"/>
      <c r="N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</row>
    <row r="30">
      <c r="A30" s="26"/>
      <c r="B30" s="27"/>
      <c r="C30" s="28"/>
      <c r="D30" s="30">
        <v>14.8</v>
      </c>
      <c r="E30" s="62"/>
      <c r="F30" s="62"/>
      <c r="G30" s="35">
        <f>SUM(D30,E30,F30)</f>
        <v>14.8</v>
      </c>
      <c r="H30" s="38">
        <f>AVERAGE(D30,E30,F30)</f>
        <v>14.8</v>
      </c>
      <c r="I30" s="24"/>
      <c r="J30" s="39">
        <v>6.0</v>
      </c>
      <c r="K30" s="40"/>
      <c r="L30" s="42">
        <f>H30*J30</f>
        <v>88.8</v>
      </c>
      <c r="M30" s="6"/>
      <c r="N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</row>
    <row r="32">
      <c r="A32" s="26"/>
      <c r="B32" s="27"/>
      <c r="C32" s="28"/>
      <c r="D32" s="30">
        <v>3.98</v>
      </c>
      <c r="E32" s="30">
        <v>5.98</v>
      </c>
      <c r="F32" s="62"/>
      <c r="G32" s="35">
        <f>SUM(D32,E32,F32)</f>
        <v>9.96</v>
      </c>
      <c r="H32" s="38">
        <f>AVERAGE(D32,E32,F32)</f>
        <v>4.98</v>
      </c>
      <c r="I32" s="24"/>
      <c r="J32" s="39">
        <v>7.5</v>
      </c>
      <c r="K32" s="40"/>
      <c r="L32" s="42">
        <f>H32*J32</f>
        <v>37.35</v>
      </c>
      <c r="M32" s="6"/>
      <c r="N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44" t="s">
        <v>203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</row>
    <row r="34">
      <c r="A34" s="26"/>
      <c r="B34" s="27"/>
      <c r="C34" s="28"/>
      <c r="D34" s="30">
        <v>7.99</v>
      </c>
      <c r="E34" s="30">
        <v>8.29</v>
      </c>
      <c r="F34" s="30">
        <v>8.14</v>
      </c>
      <c r="G34" s="35">
        <f>SUM(D34,E34,F34)</f>
        <v>24.42</v>
      </c>
      <c r="H34" s="38">
        <f>AVERAGE(D34,E34,F34)</f>
        <v>8.14</v>
      </c>
      <c r="I34" s="24"/>
      <c r="J34" s="39">
        <v>0.83</v>
      </c>
      <c r="K34" s="40"/>
      <c r="L34" s="42">
        <f>H34*J34</f>
        <v>6.7562</v>
      </c>
      <c r="M34" s="6"/>
      <c r="N34" s="6"/>
    </row>
    <row r="35">
      <c r="A35" s="15">
        <f>A33+1</f>
        <v>17</v>
      </c>
      <c r="B35" s="17" t="s">
        <v>79</v>
      </c>
      <c r="C35" s="19"/>
      <c r="D35" s="21" t="s">
        <v>80</v>
      </c>
      <c r="E35" s="21" t="s">
        <v>81</v>
      </c>
      <c r="F35" s="21" t="s">
        <v>82</v>
      </c>
      <c r="G35" s="23"/>
      <c r="H35" s="23"/>
      <c r="I35" s="24"/>
      <c r="J35" s="45"/>
      <c r="K35" s="47"/>
      <c r="L35" s="48"/>
      <c r="M35" s="6"/>
      <c r="N35" s="6"/>
    </row>
    <row r="36">
      <c r="A36" s="26"/>
      <c r="B36" s="27"/>
      <c r="C36" s="28"/>
      <c r="D36" s="30">
        <v>5.99</v>
      </c>
      <c r="E36" s="30">
        <v>5.99</v>
      </c>
      <c r="F36" s="30">
        <v>5.99</v>
      </c>
      <c r="G36" s="35">
        <f>SUM(D36,E36,F36)</f>
        <v>17.97</v>
      </c>
      <c r="H36" s="38">
        <f>AVERAGE(D36,E36,F36)</f>
        <v>5.99</v>
      </c>
      <c r="I36" s="24"/>
      <c r="J36" s="39">
        <v>7.5</v>
      </c>
      <c r="K36" s="40"/>
      <c r="L36" s="42">
        <f>H36*J36</f>
        <v>44.925</v>
      </c>
      <c r="M36" s="6"/>
      <c r="N36" s="6"/>
    </row>
    <row r="37">
      <c r="A37" s="15">
        <f>A35+1</f>
        <v>18</v>
      </c>
      <c r="B37" s="17" t="s">
        <v>83</v>
      </c>
      <c r="C37" s="19"/>
      <c r="D37" s="21" t="s">
        <v>80</v>
      </c>
      <c r="E37" s="21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</row>
    <row r="38">
      <c r="A38" s="26"/>
      <c r="B38" s="27"/>
      <c r="C38" s="28"/>
      <c r="D38" s="30">
        <v>16.98</v>
      </c>
      <c r="E38" s="30">
        <v>16.48</v>
      </c>
      <c r="F38" s="30">
        <v>15.98</v>
      </c>
      <c r="G38" s="35">
        <f>SUM(D38,E38,F38)</f>
        <v>49.44</v>
      </c>
      <c r="H38" s="38">
        <f>AVERAGE(D38,E38,F38)</f>
        <v>16.48</v>
      </c>
      <c r="I38" s="24"/>
      <c r="J38" s="39">
        <v>0.0</v>
      </c>
      <c r="K38" s="40"/>
      <c r="L38" s="42">
        <f>H38*J38</f>
        <v>0</v>
      </c>
      <c r="M38" s="6"/>
      <c r="N38" s="6"/>
    </row>
    <row r="39">
      <c r="A39" s="15">
        <f>A37+1</f>
        <v>19</v>
      </c>
      <c r="B39" s="17" t="s">
        <v>85</v>
      </c>
      <c r="C39" s="19"/>
      <c r="D39" s="21" t="s">
        <v>205</v>
      </c>
      <c r="E39" s="44" t="s">
        <v>206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</row>
    <row r="40">
      <c r="A40" s="26"/>
      <c r="B40" s="27"/>
      <c r="C40" s="28"/>
      <c r="D40" s="30">
        <v>4.79</v>
      </c>
      <c r="E40" s="30">
        <v>5.99</v>
      </c>
      <c r="F40" s="30">
        <v>5.39</v>
      </c>
      <c r="G40" s="35">
        <f>SUM(D40,E40,F40)</f>
        <v>16.17</v>
      </c>
      <c r="H40" s="38">
        <f>AVERAGE(D40,E40,F40)</f>
        <v>5.39</v>
      </c>
      <c r="I40" s="24"/>
      <c r="J40" s="39">
        <v>0.0</v>
      </c>
      <c r="K40" s="40"/>
      <c r="L40" s="42">
        <f>H40*J40</f>
        <v>0</v>
      </c>
      <c r="M40" s="6"/>
      <c r="N40" s="6"/>
    </row>
    <row r="41">
      <c r="A41" s="15">
        <f>A39+1</f>
        <v>20</v>
      </c>
      <c r="B41" s="17" t="s">
        <v>88</v>
      </c>
      <c r="C41" s="19"/>
      <c r="D41" s="21" t="s">
        <v>89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</row>
    <row r="42">
      <c r="A42" s="26"/>
      <c r="B42" s="27"/>
      <c r="C42" s="28"/>
      <c r="D42" s="30">
        <v>3.89</v>
      </c>
      <c r="E42" s="30">
        <v>3.89</v>
      </c>
      <c r="F42" s="30">
        <v>3.89</v>
      </c>
      <c r="G42" s="35">
        <f>SUM(D42,E42,F42)</f>
        <v>11.67</v>
      </c>
      <c r="H42" s="38">
        <f>AVERAGE(D42,E42,F42)</f>
        <v>3.89</v>
      </c>
      <c r="I42" s="24"/>
      <c r="J42" s="39">
        <v>0.0</v>
      </c>
      <c r="K42" s="40"/>
      <c r="L42" s="42">
        <f>H42*J42</f>
        <v>0</v>
      </c>
      <c r="M42" s="6"/>
      <c r="N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</row>
    <row r="44">
      <c r="A44" s="26"/>
      <c r="B44" s="27"/>
      <c r="C44" s="28"/>
      <c r="D44" s="30">
        <v>49.98</v>
      </c>
      <c r="E44" s="30">
        <v>44.9</v>
      </c>
      <c r="F44" s="30">
        <v>47.44</v>
      </c>
      <c r="G44" s="35">
        <f>SUM(D44,E44,F44)</f>
        <v>142.32</v>
      </c>
      <c r="H44" s="38">
        <f>AVERAGE(D44,E44,F44)</f>
        <v>47.44</v>
      </c>
      <c r="I44" s="24"/>
      <c r="J44" s="39">
        <v>3.0</v>
      </c>
      <c r="K44" s="40"/>
      <c r="L44" s="42">
        <f>H44*J44</f>
        <v>142.32</v>
      </c>
      <c r="M44" s="6"/>
      <c r="N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</row>
    <row r="46">
      <c r="A46" s="26"/>
      <c r="B46" s="27"/>
      <c r="C46" s="28"/>
      <c r="D46" s="30">
        <v>34.9</v>
      </c>
      <c r="E46" s="30">
        <v>30.98</v>
      </c>
      <c r="F46" s="30">
        <v>32.94</v>
      </c>
      <c r="G46" s="35">
        <f>SUM(D46,E46,F46)</f>
        <v>98.82</v>
      </c>
      <c r="H46" s="38">
        <f>AVERAGE(D46,E46,F46)</f>
        <v>32.94</v>
      </c>
      <c r="I46" s="24"/>
      <c r="J46" s="39">
        <v>3.0</v>
      </c>
      <c r="K46" s="40"/>
      <c r="L46" s="42">
        <f>H46*J46</f>
        <v>98.82</v>
      </c>
      <c r="M46" s="6"/>
      <c r="N46" s="6"/>
    </row>
    <row r="47">
      <c r="A47" s="15">
        <f>A45+1</f>
        <v>23</v>
      </c>
      <c r="B47" s="17" t="s">
        <v>104</v>
      </c>
      <c r="C47" s="19"/>
      <c r="D47" s="21" t="s">
        <v>156</v>
      </c>
      <c r="E47" s="21" t="s">
        <v>106</v>
      </c>
      <c r="F47" s="44" t="s">
        <v>46</v>
      </c>
      <c r="G47" s="23"/>
      <c r="H47" s="23"/>
      <c r="I47" s="24"/>
      <c r="J47" s="45"/>
      <c r="K47" s="47"/>
      <c r="L47" s="48"/>
      <c r="M47" s="6"/>
      <c r="N47" s="6"/>
    </row>
    <row r="48">
      <c r="A48" s="26"/>
      <c r="B48" s="27"/>
      <c r="C48" s="28"/>
      <c r="D48" s="30">
        <v>7.98</v>
      </c>
      <c r="E48" s="30">
        <v>7.98</v>
      </c>
      <c r="F48" s="62"/>
      <c r="G48" s="35">
        <f>SUM(D48,E48,F48)</f>
        <v>15.96</v>
      </c>
      <c r="H48" s="38">
        <f>AVERAGE(D48,E48,F48)</f>
        <v>7.98</v>
      </c>
      <c r="I48" s="24"/>
      <c r="J48" s="39">
        <v>0.0</v>
      </c>
      <c r="K48" s="40"/>
      <c r="L48" s="42">
        <f>H48*J48</f>
        <v>0</v>
      </c>
      <c r="M48" s="6"/>
      <c r="N48" s="6"/>
    </row>
    <row r="49">
      <c r="A49" s="15">
        <f>A47+1</f>
        <v>24</v>
      </c>
      <c r="B49" s="17" t="s">
        <v>108</v>
      </c>
      <c r="C49" s="19"/>
      <c r="D49" s="21" t="s">
        <v>156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</row>
    <row r="50">
      <c r="A50" s="26"/>
      <c r="B50" s="27"/>
      <c r="C50" s="28"/>
      <c r="D50" s="30">
        <v>8.98</v>
      </c>
      <c r="E50" s="30">
        <v>8.98</v>
      </c>
      <c r="F50" s="30">
        <v>8.98</v>
      </c>
      <c r="G50" s="35">
        <f>SUM(D50,E50,F50)</f>
        <v>26.94</v>
      </c>
      <c r="H50" s="38">
        <f>AVERAGE(D50,E50,F50)</f>
        <v>8.98</v>
      </c>
      <c r="I50" s="24"/>
      <c r="J50" s="39">
        <v>0.0</v>
      </c>
      <c r="K50" s="40"/>
      <c r="L50" s="42">
        <f>H50*J50</f>
        <v>0</v>
      </c>
      <c r="M50" s="6"/>
      <c r="N50" s="6"/>
    </row>
    <row r="51">
      <c r="A51" s="15">
        <f>A49+1</f>
        <v>25</v>
      </c>
      <c r="B51" s="17" t="s">
        <v>110</v>
      </c>
      <c r="C51" s="19"/>
      <c r="D51" s="21" t="s">
        <v>105</v>
      </c>
      <c r="E51" s="21" t="s">
        <v>106</v>
      </c>
      <c r="F51" s="21" t="s">
        <v>111</v>
      </c>
      <c r="G51" s="23"/>
      <c r="H51" s="23"/>
      <c r="I51" s="24"/>
      <c r="J51" s="45"/>
      <c r="K51" s="47"/>
      <c r="L51" s="48"/>
      <c r="M51" s="6"/>
      <c r="N51" s="6"/>
    </row>
    <row r="52">
      <c r="A52" s="26"/>
      <c r="B52" s="27"/>
      <c r="C52" s="28"/>
      <c r="D52" s="30">
        <v>17.44</v>
      </c>
      <c r="E52" s="30">
        <v>20.9</v>
      </c>
      <c r="F52" s="30">
        <v>13.98</v>
      </c>
      <c r="G52" s="35">
        <f>SUM(D52,E52,F52)</f>
        <v>52.32</v>
      </c>
      <c r="H52" s="38">
        <f>AVERAGE(D52,E52,F52)</f>
        <v>17.44</v>
      </c>
      <c r="I52" s="24"/>
      <c r="J52" s="39">
        <v>0.0</v>
      </c>
      <c r="K52" s="40"/>
      <c r="L52" s="42">
        <f>H52*J52</f>
        <v>0</v>
      </c>
      <c r="M52" s="6"/>
      <c r="N52" s="6"/>
    </row>
    <row r="53">
      <c r="A53" s="15">
        <f>A51+1</f>
        <v>26</v>
      </c>
      <c r="B53" s="17" t="s">
        <v>112</v>
      </c>
      <c r="C53" s="19"/>
      <c r="D53" s="44" t="s">
        <v>161</v>
      </c>
      <c r="E53" s="21" t="s">
        <v>66</v>
      </c>
      <c r="F53" s="44" t="s">
        <v>162</v>
      </c>
      <c r="G53" s="23"/>
      <c r="H53" s="23"/>
      <c r="I53" s="24"/>
      <c r="J53" s="45"/>
      <c r="K53" s="47"/>
      <c r="L53" s="48"/>
      <c r="M53" s="6"/>
      <c r="N53" s="6"/>
    </row>
    <row r="54">
      <c r="A54" s="26"/>
      <c r="B54" s="27"/>
      <c r="C54" s="28"/>
      <c r="D54" s="30">
        <v>37.97</v>
      </c>
      <c r="E54" s="30">
        <v>34.95</v>
      </c>
      <c r="F54" s="30">
        <v>39.98</v>
      </c>
      <c r="G54" s="35">
        <f>SUM(D54,E54,F54)</f>
        <v>112.9</v>
      </c>
      <c r="H54" s="38">
        <f>AVERAGE(D54,E54,F54)</f>
        <v>37.63333333</v>
      </c>
      <c r="I54" s="64"/>
      <c r="J54" s="65">
        <v>0.0</v>
      </c>
      <c r="K54" s="64"/>
      <c r="L54" s="42">
        <f>H54*J54</f>
        <v>0</v>
      </c>
      <c r="M54" s="6"/>
      <c r="N54" s="6"/>
    </row>
    <row r="55">
      <c r="A55" s="66" t="s">
        <v>115</v>
      </c>
      <c r="B55" s="27"/>
      <c r="C55" s="27"/>
      <c r="D55" s="27"/>
      <c r="E55" s="27"/>
      <c r="F55" s="27"/>
      <c r="G55" s="67"/>
      <c r="H55" s="68">
        <f>SUM(H4:H54)</f>
        <v>373.69</v>
      </c>
      <c r="I55" s="64"/>
      <c r="J55" s="69" t="s">
        <v>9</v>
      </c>
      <c r="K55" s="28"/>
      <c r="L55" s="70">
        <f>SUM(L4:L54)</f>
        <v>708.3112</v>
      </c>
      <c r="M55" s="6"/>
      <c r="N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</row>
    <row r="58">
      <c r="A58" s="26"/>
      <c r="B58" s="27"/>
      <c r="C58" s="28"/>
      <c r="D58" s="30">
        <v>6.99</v>
      </c>
      <c r="E58" s="30">
        <v>9.49</v>
      </c>
      <c r="F58" s="30">
        <v>11.99</v>
      </c>
      <c r="G58" s="35">
        <f>SUM(D58,E58,F58)</f>
        <v>28.47</v>
      </c>
      <c r="H58" s="38">
        <f>AVERAGE(D58,E58,F58)</f>
        <v>9.49</v>
      </c>
      <c r="I58" s="24"/>
      <c r="J58" s="73">
        <v>4.0</v>
      </c>
      <c r="K58" s="40"/>
      <c r="L58" s="42">
        <f>H58*J58</f>
        <v>37.96</v>
      </c>
      <c r="M58" s="6"/>
      <c r="N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</row>
    <row r="60">
      <c r="A60" s="26"/>
      <c r="B60" s="27"/>
      <c r="C60" s="28"/>
      <c r="D60" s="30">
        <v>3.99</v>
      </c>
      <c r="E60" s="30">
        <v>3.99</v>
      </c>
      <c r="F60" s="62"/>
      <c r="G60" s="35">
        <f>SUM(D60,E60,F60)</f>
        <v>7.98</v>
      </c>
      <c r="H60" s="38">
        <f>AVERAGE(D60,E60,F60)</f>
        <v>3.99</v>
      </c>
      <c r="I60" s="24"/>
      <c r="J60" s="73">
        <v>15.0</v>
      </c>
      <c r="K60" s="40"/>
      <c r="L60" s="42">
        <f>H60*J60</f>
        <v>59.85</v>
      </c>
      <c r="M60" s="6"/>
      <c r="N60" s="6"/>
    </row>
    <row r="61">
      <c r="A61" s="15">
        <f>A59+1</f>
        <v>29</v>
      </c>
      <c r="B61" s="17" t="s">
        <v>127</v>
      </c>
      <c r="C61" s="19"/>
      <c r="D61" s="44" t="s">
        <v>211</v>
      </c>
      <c r="E61" s="21" t="s">
        <v>128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</row>
    <row r="62">
      <c r="A62" s="26"/>
      <c r="B62" s="27"/>
      <c r="C62" s="28"/>
      <c r="D62" s="30">
        <v>5.19</v>
      </c>
      <c r="E62" s="30">
        <v>5.59</v>
      </c>
      <c r="F62" s="30">
        <v>4.19</v>
      </c>
      <c r="G62" s="35">
        <f>SUM(D62,E62,F62)</f>
        <v>14.97</v>
      </c>
      <c r="H62" s="38">
        <f>AVERAGE(D62,E62,F62)</f>
        <v>4.99</v>
      </c>
      <c r="I62" s="24"/>
      <c r="J62" s="73">
        <v>2.0</v>
      </c>
      <c r="K62" s="40"/>
      <c r="L62" s="42">
        <f>H62*J62</f>
        <v>9.98</v>
      </c>
      <c r="M62" s="6"/>
      <c r="N62" s="6"/>
    </row>
    <row r="63">
      <c r="A63" s="15">
        <f>A61+1</f>
        <v>30</v>
      </c>
      <c r="B63" s="17" t="s">
        <v>131</v>
      </c>
      <c r="C63" s="19"/>
      <c r="D63" s="21" t="s">
        <v>196</v>
      </c>
      <c r="E63" s="44" t="s">
        <v>211</v>
      </c>
      <c r="F63" s="44" t="s">
        <v>132</v>
      </c>
      <c r="G63" s="23"/>
      <c r="H63" s="23"/>
      <c r="I63" s="24"/>
      <c r="J63" s="47"/>
      <c r="K63" s="27"/>
      <c r="L63" s="67"/>
      <c r="M63" s="6"/>
      <c r="N63" s="6"/>
    </row>
    <row r="64">
      <c r="A64" s="26"/>
      <c r="B64" s="27"/>
      <c r="C64" s="28"/>
      <c r="D64" s="30">
        <v>3.19</v>
      </c>
      <c r="E64" s="30">
        <v>3.19</v>
      </c>
      <c r="F64" s="30"/>
      <c r="G64" s="35">
        <f>SUM(D64,E64,F64)</f>
        <v>6.38</v>
      </c>
      <c r="H64" s="38">
        <f>AVERAGE(D64,E64,F64)</f>
        <v>3.19</v>
      </c>
      <c r="I64" s="64"/>
      <c r="J64" s="73">
        <v>2.0</v>
      </c>
      <c r="K64" s="40"/>
      <c r="L64" s="42">
        <f>H64*J64</f>
        <v>6.38</v>
      </c>
      <c r="M64" s="6"/>
      <c r="N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>
        <f>SUM(H57:H64)</f>
        <v>21.66</v>
      </c>
      <c r="I65" s="64"/>
      <c r="J65" s="69" t="s">
        <v>9</v>
      </c>
      <c r="K65" s="28"/>
      <c r="L65" s="70">
        <f>SUM(L57:L64)</f>
        <v>114.17</v>
      </c>
      <c r="M65" s="6"/>
      <c r="N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</row>
    <row r="67">
      <c r="A67" s="15">
        <f>A63+1</f>
        <v>31</v>
      </c>
      <c r="B67" s="17" t="s">
        <v>136</v>
      </c>
      <c r="C67" s="19"/>
      <c r="D67" s="21" t="s">
        <v>157</v>
      </c>
      <c r="E67" s="44" t="s">
        <v>215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</row>
    <row r="68">
      <c r="A68" s="26"/>
      <c r="B68" s="27"/>
      <c r="C68" s="28"/>
      <c r="D68" s="30">
        <v>4.99</v>
      </c>
      <c r="E68" s="30">
        <v>3.79</v>
      </c>
      <c r="F68" s="30">
        <v>5.99</v>
      </c>
      <c r="G68" s="35">
        <f>SUM(D68,E68,F68)</f>
        <v>14.77</v>
      </c>
      <c r="H68" s="38">
        <f>AVERAGE(D68,E68,F68)</f>
        <v>4.923333333</v>
      </c>
      <c r="I68" s="24"/>
      <c r="J68" s="73">
        <v>3.0</v>
      </c>
      <c r="K68" s="40"/>
      <c r="L68" s="42">
        <f>H68*J68</f>
        <v>14.77</v>
      </c>
      <c r="M68" s="6"/>
      <c r="N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</row>
    <row r="70">
      <c r="A70" s="26"/>
      <c r="B70" s="27"/>
      <c r="C70" s="28"/>
      <c r="D70" s="30">
        <v>6.99</v>
      </c>
      <c r="E70" s="30">
        <v>4.59</v>
      </c>
      <c r="F70" s="62"/>
      <c r="G70" s="35">
        <f>SUM(D70,E70,F70)</f>
        <v>11.58</v>
      </c>
      <c r="H70" s="38">
        <f>AVERAGE(D70,E70,F70)</f>
        <v>5.79</v>
      </c>
      <c r="I70" s="24"/>
      <c r="J70" s="73">
        <v>2.0</v>
      </c>
      <c r="K70" s="40"/>
      <c r="L70" s="42">
        <f>H70*J70</f>
        <v>11.58</v>
      </c>
      <c r="M70" s="6"/>
      <c r="N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</row>
    <row r="72">
      <c r="A72" s="26"/>
      <c r="B72" s="27"/>
      <c r="C72" s="28"/>
      <c r="D72" s="30">
        <v>3.99</v>
      </c>
      <c r="E72" s="115">
        <v>3.19</v>
      </c>
      <c r="F72" s="62"/>
      <c r="G72" s="35">
        <f>SUM(D72,E72,F72)</f>
        <v>7.18</v>
      </c>
      <c r="H72" s="38">
        <f>AVERAGE(D72,E72,F72)</f>
        <v>3.59</v>
      </c>
      <c r="I72" s="24"/>
      <c r="J72" s="73">
        <v>10.0</v>
      </c>
      <c r="K72" s="40"/>
      <c r="L72" s="42">
        <f>H72*J72</f>
        <v>35.9</v>
      </c>
      <c r="M72" s="6"/>
      <c r="N72" s="6"/>
    </row>
    <row r="73">
      <c r="A73" s="15">
        <f>A71+1</f>
        <v>34</v>
      </c>
      <c r="B73" s="17" t="s">
        <v>149</v>
      </c>
      <c r="C73" s="19"/>
      <c r="D73" s="44" t="s">
        <v>150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</row>
    <row r="74">
      <c r="A74" s="26"/>
      <c r="B74" s="27"/>
      <c r="C74" s="28"/>
      <c r="D74" s="30">
        <v>23.69</v>
      </c>
      <c r="E74" s="30">
        <v>13.39</v>
      </c>
      <c r="F74" s="62"/>
      <c r="G74" s="35">
        <f>SUM(D74,E74,F74)</f>
        <v>37.08</v>
      </c>
      <c r="H74" s="38">
        <f>AVERAGE(D74,E74,F74)</f>
        <v>18.54</v>
      </c>
      <c r="I74" s="24"/>
      <c r="J74" s="73">
        <v>2.0</v>
      </c>
      <c r="K74" s="40"/>
      <c r="L74" s="42">
        <f>H74*J74</f>
        <v>37.08</v>
      </c>
      <c r="M74" s="6"/>
      <c r="N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</row>
    <row r="76">
      <c r="A76" s="26"/>
      <c r="B76" s="27"/>
      <c r="C76" s="28"/>
      <c r="D76" s="30">
        <v>4.49</v>
      </c>
      <c r="E76" s="30">
        <v>7.49</v>
      </c>
      <c r="F76" s="62"/>
      <c r="G76" s="35">
        <f>SUM(D76,E76,F76)</f>
        <v>11.98</v>
      </c>
      <c r="H76" s="38">
        <f>AVERAGE(D76,E76,F76)</f>
        <v>5.99</v>
      </c>
      <c r="I76" s="64"/>
      <c r="J76" s="73">
        <v>1.0</v>
      </c>
      <c r="K76" s="40"/>
      <c r="L76" s="42">
        <f>H76*J76</f>
        <v>5.99</v>
      </c>
      <c r="M76" s="6"/>
      <c r="N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38.83333333</v>
      </c>
      <c r="I77" s="64"/>
      <c r="J77" s="69" t="s">
        <v>9</v>
      </c>
      <c r="K77" s="28"/>
      <c r="L77" s="70">
        <f>SUM(L68:L76)</f>
        <v>105.32</v>
      </c>
      <c r="M77" s="6"/>
      <c r="N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434.1833333</v>
      </c>
      <c r="I80" s="6"/>
      <c r="J80" s="24"/>
      <c r="K80" s="81" t="s">
        <v>9</v>
      </c>
      <c r="L80" s="70">
        <f>L55+L65+L77</f>
        <v>927.8012</v>
      </c>
      <c r="M80" s="6"/>
      <c r="N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</row>
    <row r="83">
      <c r="A83" s="6"/>
      <c r="B83" s="6"/>
      <c r="C83" s="6"/>
      <c r="D83" s="6"/>
      <c r="E83" s="6"/>
      <c r="F83" s="6"/>
      <c r="G83" s="6"/>
      <c r="H83" s="75"/>
      <c r="I83" s="6"/>
      <c r="J83" s="6"/>
      <c r="K83" s="6"/>
      <c r="L83" s="75"/>
      <c r="M83" s="6"/>
      <c r="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8" t="s">
        <v>199</v>
      </c>
      <c r="B2" s="10"/>
      <c r="C2" s="10"/>
      <c r="D2" s="10"/>
      <c r="E2" s="12"/>
      <c r="F2" s="13" t="s">
        <v>1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26"/>
      <c r="B4" s="27"/>
      <c r="C4" s="28"/>
      <c r="D4" s="30">
        <v>21.99</v>
      </c>
      <c r="E4" s="30">
        <v>19.99</v>
      </c>
      <c r="F4" s="30">
        <v>20.99</v>
      </c>
      <c r="G4" s="35">
        <f>SUM(D4,E4,F4)</f>
        <v>62.97</v>
      </c>
      <c r="H4" s="38">
        <f>AVERAGE(D4,E4,F4)</f>
        <v>20.99</v>
      </c>
      <c r="I4" s="24"/>
      <c r="J4" s="39">
        <v>0.6</v>
      </c>
      <c r="K4" s="40" t="s">
        <v>15</v>
      </c>
      <c r="L4" s="42">
        <f>H4*J4</f>
        <v>12.594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15">
        <f>A3+1</f>
        <v>2</v>
      </c>
      <c r="B5" s="17" t="s">
        <v>16</v>
      </c>
      <c r="C5" s="19"/>
      <c r="D5" s="44" t="s">
        <v>200</v>
      </c>
      <c r="E5" s="44" t="s">
        <v>201</v>
      </c>
      <c r="F5" s="21" t="s">
        <v>18</v>
      </c>
      <c r="G5" s="23"/>
      <c r="H5" s="23"/>
      <c r="I5" s="24"/>
      <c r="J5" s="45"/>
      <c r="K5" s="47"/>
      <c r="L5" s="48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26"/>
      <c r="B6" s="27"/>
      <c r="C6" s="28"/>
      <c r="D6" s="30">
        <v>7.99</v>
      </c>
      <c r="E6" s="30">
        <v>9.99</v>
      </c>
      <c r="F6" s="30">
        <v>8.99</v>
      </c>
      <c r="G6" s="35">
        <f>SUM(D6,E6,F6)</f>
        <v>26.97</v>
      </c>
      <c r="H6" s="38">
        <f>AVERAGE(D6,E6,F6)</f>
        <v>8.99</v>
      </c>
      <c r="I6" s="24"/>
      <c r="J6" s="39">
        <v>4.0</v>
      </c>
      <c r="K6" s="40"/>
      <c r="L6" s="42">
        <f>H6*J6</f>
        <v>35.96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15">
        <f>A5+1</f>
        <v>3</v>
      </c>
      <c r="B7" s="17" t="s">
        <v>23</v>
      </c>
      <c r="C7" s="19"/>
      <c r="D7" s="21" t="s">
        <v>24</v>
      </c>
      <c r="E7" s="21" t="s">
        <v>25</v>
      </c>
      <c r="F7" s="21" t="s">
        <v>26</v>
      </c>
      <c r="G7" s="23"/>
      <c r="H7" s="23"/>
      <c r="I7" s="24"/>
      <c r="J7" s="45"/>
      <c r="K7" s="47"/>
      <c r="L7" s="48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26"/>
      <c r="B8" s="27"/>
      <c r="C8" s="28"/>
      <c r="D8" s="30">
        <v>15.99</v>
      </c>
      <c r="E8" s="30">
        <v>15.99</v>
      </c>
      <c r="F8" s="30">
        <v>15.99</v>
      </c>
      <c r="G8" s="35">
        <f>SUM(D8,E8,F8)</f>
        <v>47.97</v>
      </c>
      <c r="H8" s="38">
        <f>AVERAGE(D8,E8,F8)</f>
        <v>15.99</v>
      </c>
      <c r="I8" s="24"/>
      <c r="J8" s="39">
        <v>0.6</v>
      </c>
      <c r="K8" s="40"/>
      <c r="L8" s="42">
        <f>H8*J8</f>
        <v>9.594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5">
        <f>A7+1</f>
        <v>4</v>
      </c>
      <c r="B9" s="17" t="s">
        <v>28</v>
      </c>
      <c r="C9" s="19"/>
      <c r="D9" s="21" t="s">
        <v>29</v>
      </c>
      <c r="E9" s="21" t="s">
        <v>30</v>
      </c>
      <c r="F9" s="21" t="s">
        <v>31</v>
      </c>
      <c r="G9" s="23"/>
      <c r="H9" s="23"/>
      <c r="I9" s="24"/>
      <c r="J9" s="45"/>
      <c r="K9" s="47"/>
      <c r="L9" s="48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26"/>
      <c r="B10" s="27"/>
      <c r="C10" s="28"/>
      <c r="D10" s="30">
        <v>31.99</v>
      </c>
      <c r="E10" s="30">
        <v>31.99</v>
      </c>
      <c r="F10" s="30">
        <v>31.99</v>
      </c>
      <c r="G10" s="35">
        <f>SUM(D10,E10,F10)</f>
        <v>95.97</v>
      </c>
      <c r="H10" s="38">
        <f>AVERAGE(D10,E10,F10)</f>
        <v>31.99</v>
      </c>
      <c r="I10" s="24"/>
      <c r="J10" s="39">
        <v>1.2</v>
      </c>
      <c r="K10" s="40"/>
      <c r="L10" s="42">
        <f>H10*J10</f>
        <v>38.388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5">
        <f>A9+1</f>
        <v>5</v>
      </c>
      <c r="B11" s="17" t="s">
        <v>34</v>
      </c>
      <c r="C11" s="19"/>
      <c r="D11" s="21" t="s">
        <v>35</v>
      </c>
      <c r="E11" s="21" t="s">
        <v>36</v>
      </c>
      <c r="F11" s="21" t="s">
        <v>37</v>
      </c>
      <c r="G11" s="23"/>
      <c r="H11" s="23"/>
      <c r="I11" s="24"/>
      <c r="J11" s="45"/>
      <c r="K11" s="47"/>
      <c r="L11" s="4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26"/>
      <c r="B12" s="27"/>
      <c r="C12" s="28"/>
      <c r="D12" s="30">
        <v>5.49</v>
      </c>
      <c r="E12" s="30">
        <v>5.74</v>
      </c>
      <c r="F12" s="30">
        <v>5.99</v>
      </c>
      <c r="G12" s="35">
        <f>SUM(D12,E12,F12)</f>
        <v>17.22</v>
      </c>
      <c r="H12" s="38">
        <f>AVERAGE(D12,E12,F12)</f>
        <v>5.74</v>
      </c>
      <c r="I12" s="24"/>
      <c r="J12" s="39">
        <v>0.0</v>
      </c>
      <c r="K12" s="40"/>
      <c r="L12" s="42">
        <f>H12*J12</f>
        <v>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5">
        <f>A11+1</f>
        <v>6</v>
      </c>
      <c r="B13" s="17" t="s">
        <v>38</v>
      </c>
      <c r="C13" s="19"/>
      <c r="D13" s="21" t="s">
        <v>39</v>
      </c>
      <c r="E13" s="21" t="s">
        <v>40</v>
      </c>
      <c r="F13" s="21" t="s">
        <v>41</v>
      </c>
      <c r="G13" s="23"/>
      <c r="H13" s="23"/>
      <c r="I13" s="24"/>
      <c r="J13" s="45"/>
      <c r="K13" s="47"/>
      <c r="L13" s="48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26"/>
      <c r="B14" s="27"/>
      <c r="C14" s="28"/>
      <c r="D14" s="30">
        <v>9.82</v>
      </c>
      <c r="E14" s="30">
        <v>9.82</v>
      </c>
      <c r="F14" s="30">
        <v>9.82</v>
      </c>
      <c r="G14" s="35">
        <f>SUM(D14,E14,F14)</f>
        <v>29.46</v>
      </c>
      <c r="H14" s="38">
        <f>AVERAGE(D14,E14,F14)</f>
        <v>9.82</v>
      </c>
      <c r="I14" s="24"/>
      <c r="J14" s="39">
        <v>1.0</v>
      </c>
      <c r="K14" s="40"/>
      <c r="L14" s="42">
        <f>H14*J14</f>
        <v>9.82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5">
        <f>A13+1</f>
        <v>7</v>
      </c>
      <c r="B15" s="17" t="s">
        <v>43</v>
      </c>
      <c r="C15" s="19"/>
      <c r="D15" s="44" t="s">
        <v>45</v>
      </c>
      <c r="E15" s="21" t="s">
        <v>46</v>
      </c>
      <c r="F15" s="21" t="s">
        <v>46</v>
      </c>
      <c r="G15" s="23"/>
      <c r="H15" s="23"/>
      <c r="I15" s="24"/>
      <c r="J15" s="45"/>
      <c r="K15" s="47"/>
      <c r="L15" s="4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26"/>
      <c r="B16" s="27"/>
      <c r="C16" s="28"/>
      <c r="D16" s="30">
        <v>9.99</v>
      </c>
      <c r="E16" s="62"/>
      <c r="F16" s="62"/>
      <c r="G16" s="35">
        <f>SUM(D16,E16,F16)</f>
        <v>9.99</v>
      </c>
      <c r="H16" s="38">
        <f>AVERAGE(D16,E16,F16)</f>
        <v>9.99</v>
      </c>
      <c r="I16" s="24"/>
      <c r="J16" s="39">
        <v>6.0</v>
      </c>
      <c r="K16" s="40"/>
      <c r="L16" s="42">
        <f>H16*J16</f>
        <v>59.94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5">
        <f>A15+1</f>
        <v>8</v>
      </c>
      <c r="B17" s="17" t="s">
        <v>49</v>
      </c>
      <c r="C17" s="19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5"/>
      <c r="K17" s="47"/>
      <c r="L17" s="4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26"/>
      <c r="B18" s="27"/>
      <c r="C18" s="28"/>
      <c r="D18" s="30">
        <v>6.99</v>
      </c>
      <c r="E18" s="62"/>
      <c r="F18" s="62"/>
      <c r="G18" s="35">
        <f>SUM(D18,E18,F18)</f>
        <v>6.99</v>
      </c>
      <c r="H18" s="38">
        <f>AVERAGE(D18,E18,F18)</f>
        <v>6.99</v>
      </c>
      <c r="I18" s="24"/>
      <c r="J18" s="39">
        <v>0.0</v>
      </c>
      <c r="K18" s="40"/>
      <c r="L18" s="42">
        <f>H18*J18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5">
        <f>A17+1</f>
        <v>9</v>
      </c>
      <c r="B19" s="17" t="s">
        <v>51</v>
      </c>
      <c r="C19" s="19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5"/>
      <c r="K19" s="47"/>
      <c r="L19" s="48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26"/>
      <c r="B20" s="27"/>
      <c r="C20" s="28"/>
      <c r="D20" s="30">
        <v>10.99</v>
      </c>
      <c r="E20" s="62"/>
      <c r="F20" s="62"/>
      <c r="G20" s="35">
        <f>SUM(D20,E20,F20)</f>
        <v>10.99</v>
      </c>
      <c r="H20" s="38">
        <f>AVERAGE(D20,E20,F20)</f>
        <v>10.99</v>
      </c>
      <c r="I20" s="24"/>
      <c r="J20" s="39">
        <v>9.0</v>
      </c>
      <c r="K20" s="40"/>
      <c r="L20" s="42">
        <f>H20*J20</f>
        <v>98.91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5">
        <f>A19+1</f>
        <v>10</v>
      </c>
      <c r="B21" s="17" t="s">
        <v>54</v>
      </c>
      <c r="C21" s="19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5"/>
      <c r="K21" s="47"/>
      <c r="L21" s="4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26"/>
      <c r="B22" s="27"/>
      <c r="C22" s="28"/>
      <c r="D22" s="30">
        <v>19.99</v>
      </c>
      <c r="E22" s="62"/>
      <c r="F22" s="62"/>
      <c r="G22" s="35">
        <f>SUM(D22,E22,F22)</f>
        <v>19.99</v>
      </c>
      <c r="H22" s="38">
        <f>AVERAGE(D22,E22,F22)</f>
        <v>19.99</v>
      </c>
      <c r="I22" s="24"/>
      <c r="J22" s="39">
        <v>0.0</v>
      </c>
      <c r="K22" s="40"/>
      <c r="L22" s="42">
        <f>H22*J22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5">
        <f>A21+1</f>
        <v>11</v>
      </c>
      <c r="B23" s="17" t="s">
        <v>56</v>
      </c>
      <c r="C23" s="19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5"/>
      <c r="K23" s="47"/>
      <c r="L23" s="4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26"/>
      <c r="B24" s="27"/>
      <c r="C24" s="28"/>
      <c r="D24" s="30">
        <v>9.98</v>
      </c>
      <c r="E24" s="30">
        <v>9.98</v>
      </c>
      <c r="F24" s="62"/>
      <c r="G24" s="35">
        <f>SUM(D24,E24,F24)</f>
        <v>19.96</v>
      </c>
      <c r="H24" s="38">
        <f>AVERAGE(D24,E24,F24)</f>
        <v>9.98</v>
      </c>
      <c r="I24" s="24"/>
      <c r="J24" s="39">
        <v>0.0</v>
      </c>
      <c r="K24" s="40"/>
      <c r="L24" s="42">
        <f>H24*J24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5">
        <f>A23+1</f>
        <v>12</v>
      </c>
      <c r="B25" s="17" t="s">
        <v>59</v>
      </c>
      <c r="C25" s="19"/>
      <c r="D25" s="21" t="s">
        <v>60</v>
      </c>
      <c r="E25" s="44" t="s">
        <v>61</v>
      </c>
      <c r="F25" s="21" t="s">
        <v>62</v>
      </c>
      <c r="G25" s="23"/>
      <c r="H25" s="23"/>
      <c r="I25" s="24"/>
      <c r="J25" s="45"/>
      <c r="K25" s="47"/>
      <c r="L25" s="4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26"/>
      <c r="B26" s="27"/>
      <c r="C26" s="28"/>
      <c r="D26" s="30">
        <v>5.98</v>
      </c>
      <c r="E26" s="30">
        <v>5.99</v>
      </c>
      <c r="F26" s="30">
        <v>6.0</v>
      </c>
      <c r="G26" s="35">
        <f>SUM(D26,E26,F26)</f>
        <v>17.97</v>
      </c>
      <c r="H26" s="38">
        <f>AVERAGE(D26,E26,F26)</f>
        <v>5.99</v>
      </c>
      <c r="I26" s="24"/>
      <c r="J26" s="39">
        <v>3.0</v>
      </c>
      <c r="K26" s="40"/>
      <c r="L26" s="42">
        <f>H26*J26</f>
        <v>17.97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5">
        <f>A25+1</f>
        <v>13</v>
      </c>
      <c r="B27" s="17" t="s">
        <v>64</v>
      </c>
      <c r="C27" s="19"/>
      <c r="D27" s="21" t="s">
        <v>65</v>
      </c>
      <c r="E27" s="21" t="s">
        <v>66</v>
      </c>
      <c r="F27" s="21" t="s">
        <v>67</v>
      </c>
      <c r="G27" s="23"/>
      <c r="H27" s="23"/>
      <c r="I27" s="24"/>
      <c r="J27" s="45"/>
      <c r="K27" s="47"/>
      <c r="L27" s="4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26"/>
      <c r="B28" s="27"/>
      <c r="C28" s="28"/>
      <c r="D28" s="30">
        <v>6.23</v>
      </c>
      <c r="E28" s="30">
        <v>4.51</v>
      </c>
      <c r="F28" s="30">
        <v>2.79</v>
      </c>
      <c r="G28" s="35">
        <f>SUM(D28,E28,F28)</f>
        <v>13.53</v>
      </c>
      <c r="H28" s="38">
        <f>AVERAGE(D28,E28,F28)</f>
        <v>4.51</v>
      </c>
      <c r="I28" s="24"/>
      <c r="J28" s="39">
        <v>0.0</v>
      </c>
      <c r="K28" s="40"/>
      <c r="L28" s="42">
        <f>H28*J28</f>
        <v>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5">
        <f>A27+1</f>
        <v>14</v>
      </c>
      <c r="B29" s="17" t="s">
        <v>68</v>
      </c>
      <c r="C29" s="19"/>
      <c r="D29" s="21" t="s">
        <v>69</v>
      </c>
      <c r="E29" s="21" t="s">
        <v>46</v>
      </c>
      <c r="F29" s="21" t="s">
        <v>46</v>
      </c>
      <c r="G29" s="23"/>
      <c r="H29" s="23"/>
      <c r="I29" s="24"/>
      <c r="J29" s="45"/>
      <c r="K29" s="47"/>
      <c r="L29" s="4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26"/>
      <c r="B30" s="27"/>
      <c r="C30" s="28"/>
      <c r="D30" s="30">
        <v>14.8</v>
      </c>
      <c r="E30" s="62"/>
      <c r="F30" s="62"/>
      <c r="G30" s="35">
        <f>SUM(D30,E30,F30)</f>
        <v>14.8</v>
      </c>
      <c r="H30" s="38">
        <f>AVERAGE(D30,E30,F30)</f>
        <v>14.8</v>
      </c>
      <c r="I30" s="24"/>
      <c r="J30" s="39">
        <v>6.0</v>
      </c>
      <c r="K30" s="40"/>
      <c r="L30" s="42">
        <f>H30*J30</f>
        <v>88.8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5">
        <f>A29+1</f>
        <v>15</v>
      </c>
      <c r="B31" s="17" t="s">
        <v>70</v>
      </c>
      <c r="C31" s="19"/>
      <c r="D31" s="21" t="s">
        <v>71</v>
      </c>
      <c r="E31" s="21" t="s">
        <v>72</v>
      </c>
      <c r="F31" s="21" t="s">
        <v>46</v>
      </c>
      <c r="G31" s="23"/>
      <c r="H31" s="23"/>
      <c r="I31" s="24"/>
      <c r="J31" s="45"/>
      <c r="K31" s="47"/>
      <c r="L31" s="4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26"/>
      <c r="B32" s="27"/>
      <c r="C32" s="28"/>
      <c r="D32" s="30">
        <v>3.98</v>
      </c>
      <c r="E32" s="30">
        <v>5.98</v>
      </c>
      <c r="F32" s="62"/>
      <c r="G32" s="35">
        <f>SUM(D32,E32,F32)</f>
        <v>9.96</v>
      </c>
      <c r="H32" s="38">
        <f>AVERAGE(D32,E32,F32)</f>
        <v>4.98</v>
      </c>
      <c r="I32" s="24"/>
      <c r="J32" s="39">
        <v>7.5</v>
      </c>
      <c r="K32" s="40"/>
      <c r="L32" s="42">
        <f>H32*J32</f>
        <v>37.35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5">
        <f>A31+1</f>
        <v>16</v>
      </c>
      <c r="B33" s="17" t="s">
        <v>73</v>
      </c>
      <c r="C33" s="19"/>
      <c r="D33" s="21" t="s">
        <v>75</v>
      </c>
      <c r="E33" s="44" t="s">
        <v>209</v>
      </c>
      <c r="F33" s="21" t="s">
        <v>78</v>
      </c>
      <c r="G33" s="23"/>
      <c r="H33" s="23"/>
      <c r="I33" s="24"/>
      <c r="J33" s="45"/>
      <c r="K33" s="47"/>
      <c r="L33" s="48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26"/>
      <c r="B34" s="27"/>
      <c r="C34" s="28"/>
      <c r="D34" s="30">
        <v>8.99</v>
      </c>
      <c r="E34" s="30">
        <v>14.99</v>
      </c>
      <c r="F34" s="30"/>
      <c r="G34" s="35">
        <f>SUM(D34,E34,F34)</f>
        <v>23.98</v>
      </c>
      <c r="H34" s="38">
        <f>AVERAGE(D34,E34,F34)</f>
        <v>11.99</v>
      </c>
      <c r="I34" s="24"/>
      <c r="J34" s="39">
        <v>0.83</v>
      </c>
      <c r="K34" s="40"/>
      <c r="L34" s="42">
        <f>H34*J34</f>
        <v>9.9517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5">
        <f>A33+1</f>
        <v>17</v>
      </c>
      <c r="B35" s="17" t="s">
        <v>79</v>
      </c>
      <c r="C35" s="19"/>
      <c r="D35" s="44" t="s">
        <v>80</v>
      </c>
      <c r="E35" s="21" t="s">
        <v>81</v>
      </c>
      <c r="F35" s="21" t="s">
        <v>82</v>
      </c>
      <c r="G35" s="23"/>
      <c r="H35" s="23"/>
      <c r="I35" s="24"/>
      <c r="J35" s="45"/>
      <c r="K35" s="47"/>
      <c r="L35" s="48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26"/>
      <c r="B36" s="27"/>
      <c r="C36" s="28"/>
      <c r="D36" s="30">
        <v>6.49</v>
      </c>
      <c r="E36" s="30">
        <v>6.49</v>
      </c>
      <c r="F36" s="30">
        <v>6.49</v>
      </c>
      <c r="G36" s="35">
        <f>SUM(D36,E36,F36)</f>
        <v>19.47</v>
      </c>
      <c r="H36" s="38">
        <f>AVERAGE(D36,E36,F36)</f>
        <v>6.49</v>
      </c>
      <c r="I36" s="24"/>
      <c r="J36" s="39">
        <v>7.5</v>
      </c>
      <c r="K36" s="40"/>
      <c r="L36" s="42">
        <f>H36*J36</f>
        <v>48.675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5">
        <f>A35+1</f>
        <v>18</v>
      </c>
      <c r="B37" s="17" t="s">
        <v>83</v>
      </c>
      <c r="C37" s="19"/>
      <c r="D37" s="21" t="s">
        <v>80</v>
      </c>
      <c r="E37" s="21" t="s">
        <v>84</v>
      </c>
      <c r="F37" s="21" t="s">
        <v>82</v>
      </c>
      <c r="G37" s="23"/>
      <c r="H37" s="23"/>
      <c r="I37" s="24"/>
      <c r="J37" s="45"/>
      <c r="K37" s="47"/>
      <c r="L37" s="48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26"/>
      <c r="B38" s="27"/>
      <c r="C38" s="28"/>
      <c r="D38" s="30">
        <v>22.99</v>
      </c>
      <c r="E38" s="30">
        <v>22.99</v>
      </c>
      <c r="F38" s="30">
        <v>22.99</v>
      </c>
      <c r="G38" s="35">
        <f>SUM(D38,E38,F38)</f>
        <v>68.97</v>
      </c>
      <c r="H38" s="38">
        <f>AVERAGE(D38,E38,F38)</f>
        <v>22.99</v>
      </c>
      <c r="I38" s="24"/>
      <c r="J38" s="39">
        <v>0.0</v>
      </c>
      <c r="K38" s="40"/>
      <c r="L38" s="42">
        <f>H38*J38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5">
        <f>A37+1</f>
        <v>19</v>
      </c>
      <c r="B39" s="17" t="s">
        <v>85</v>
      </c>
      <c r="C39" s="19"/>
      <c r="D39" s="21" t="s">
        <v>65</v>
      </c>
      <c r="E39" s="44" t="s">
        <v>86</v>
      </c>
      <c r="F39" s="21" t="s">
        <v>37</v>
      </c>
      <c r="G39" s="23"/>
      <c r="H39" s="23"/>
      <c r="I39" s="24"/>
      <c r="J39" s="45"/>
      <c r="K39" s="47"/>
      <c r="L39" s="48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26"/>
      <c r="B40" s="27"/>
      <c r="C40" s="28"/>
      <c r="D40" s="30">
        <v>6.49</v>
      </c>
      <c r="E40" s="30">
        <v>5.99</v>
      </c>
      <c r="F40" s="30">
        <v>6.99</v>
      </c>
      <c r="G40" s="35">
        <f>SUM(D40,E40,F40)</f>
        <v>19.47</v>
      </c>
      <c r="H40" s="38">
        <f>AVERAGE(D40,E40,F40)</f>
        <v>6.49</v>
      </c>
      <c r="I40" s="24"/>
      <c r="J40" s="39">
        <v>0.0</v>
      </c>
      <c r="K40" s="40"/>
      <c r="L40" s="42">
        <f>H40*J40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5">
        <f>A39+1</f>
        <v>20</v>
      </c>
      <c r="B41" s="17" t="s">
        <v>88</v>
      </c>
      <c r="C41" s="19"/>
      <c r="D41" s="44" t="s">
        <v>89</v>
      </c>
      <c r="E41" s="21" t="s">
        <v>90</v>
      </c>
      <c r="F41" s="21" t="s">
        <v>91</v>
      </c>
      <c r="G41" s="23"/>
      <c r="H41" s="23"/>
      <c r="I41" s="24"/>
      <c r="J41" s="45"/>
      <c r="K41" s="47"/>
      <c r="L41" s="48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26"/>
      <c r="B42" s="27"/>
      <c r="C42" s="28"/>
      <c r="D42" s="30">
        <v>8.99</v>
      </c>
      <c r="E42" s="30">
        <v>7.99</v>
      </c>
      <c r="F42" s="30">
        <v>6.99</v>
      </c>
      <c r="G42" s="35">
        <f>SUM(D42,E42,F42)</f>
        <v>23.97</v>
      </c>
      <c r="H42" s="38">
        <f>AVERAGE(D42,E42,F42)</f>
        <v>7.99</v>
      </c>
      <c r="I42" s="24"/>
      <c r="J42" s="39">
        <v>0.0</v>
      </c>
      <c r="K42" s="40"/>
      <c r="L42" s="42">
        <f>H42*J42</f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5">
        <f>A41+1</f>
        <v>21</v>
      </c>
      <c r="B43" s="17" t="s">
        <v>94</v>
      </c>
      <c r="C43" s="19"/>
      <c r="D43" s="21" t="s">
        <v>95</v>
      </c>
      <c r="E43" s="21" t="s">
        <v>96</v>
      </c>
      <c r="F43" s="21" t="s">
        <v>97</v>
      </c>
      <c r="G43" s="23"/>
      <c r="H43" s="23"/>
      <c r="I43" s="24"/>
      <c r="J43" s="45"/>
      <c r="K43" s="47"/>
      <c r="L43" s="48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26"/>
      <c r="B44" s="27"/>
      <c r="C44" s="28"/>
      <c r="D44" s="30">
        <v>43.99</v>
      </c>
      <c r="E44" s="30">
        <v>43.99</v>
      </c>
      <c r="F44" s="30">
        <v>39.99</v>
      </c>
      <c r="G44" s="35">
        <f>SUM(D44,E44,F44)</f>
        <v>127.97</v>
      </c>
      <c r="H44" s="38">
        <f>AVERAGE(D44,E44,F44)</f>
        <v>42.65666667</v>
      </c>
      <c r="I44" s="24"/>
      <c r="J44" s="39">
        <v>3.0</v>
      </c>
      <c r="K44" s="40"/>
      <c r="L44" s="42">
        <f>H44*J44</f>
        <v>127.97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5">
        <f>A43+1</f>
        <v>22</v>
      </c>
      <c r="B45" s="17" t="s">
        <v>99</v>
      </c>
      <c r="C45" s="19"/>
      <c r="D45" s="21" t="s">
        <v>100</v>
      </c>
      <c r="E45" s="21" t="s">
        <v>102</v>
      </c>
      <c r="F45" s="21" t="s">
        <v>103</v>
      </c>
      <c r="G45" s="23"/>
      <c r="H45" s="23"/>
      <c r="I45" s="24"/>
      <c r="J45" s="45"/>
      <c r="K45" s="47"/>
      <c r="L45" s="48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26"/>
      <c r="B46" s="27"/>
      <c r="C46" s="28"/>
      <c r="D46" s="30">
        <v>21.17</v>
      </c>
      <c r="E46" s="30">
        <v>17.99</v>
      </c>
      <c r="F46" s="30"/>
      <c r="G46" s="35">
        <f>SUM(D46,E46,F46)</f>
        <v>39.16</v>
      </c>
      <c r="H46" s="38">
        <f>AVERAGE(D46,E46,F46)</f>
        <v>19.58</v>
      </c>
      <c r="I46" s="24"/>
      <c r="J46" s="39">
        <v>3.0</v>
      </c>
      <c r="K46" s="40"/>
      <c r="L46" s="42">
        <f>H46*J46</f>
        <v>58.74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5">
        <f>A45+1</f>
        <v>23</v>
      </c>
      <c r="B47" s="17" t="s">
        <v>104</v>
      </c>
      <c r="C47" s="19"/>
      <c r="D47" s="21" t="s">
        <v>105</v>
      </c>
      <c r="E47" s="21" t="s">
        <v>106</v>
      </c>
      <c r="F47" s="21" t="s">
        <v>46</v>
      </c>
      <c r="G47" s="23"/>
      <c r="H47" s="23"/>
      <c r="I47" s="24"/>
      <c r="J47" s="45"/>
      <c r="K47" s="47"/>
      <c r="L47" s="48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26"/>
      <c r="B48" s="27"/>
      <c r="C48" s="28"/>
      <c r="D48" s="30"/>
      <c r="E48" s="30">
        <v>15.99</v>
      </c>
      <c r="F48" s="62"/>
      <c r="G48" s="35">
        <f>SUM(D48,E48,F48)</f>
        <v>15.99</v>
      </c>
      <c r="H48" s="38">
        <f>AVERAGE(D48,E48,F48)</f>
        <v>15.99</v>
      </c>
      <c r="I48" s="24"/>
      <c r="J48" s="39">
        <v>0.0</v>
      </c>
      <c r="K48" s="40"/>
      <c r="L48" s="42">
        <f>H48*J48</f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5">
        <f>A47+1</f>
        <v>24</v>
      </c>
      <c r="B49" s="17" t="s">
        <v>108</v>
      </c>
      <c r="C49" s="19"/>
      <c r="D49" s="21" t="s">
        <v>105</v>
      </c>
      <c r="E49" s="21" t="s">
        <v>106</v>
      </c>
      <c r="F49" s="21" t="s">
        <v>109</v>
      </c>
      <c r="G49" s="23"/>
      <c r="H49" s="23"/>
      <c r="I49" s="24"/>
      <c r="J49" s="45"/>
      <c r="K49" s="47"/>
      <c r="L49" s="48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26"/>
      <c r="B50" s="27"/>
      <c r="C50" s="28"/>
      <c r="D50" s="30">
        <v>6.98</v>
      </c>
      <c r="E50" s="30"/>
      <c r="F50" s="30">
        <v>8.98</v>
      </c>
      <c r="G50" s="35">
        <f>SUM(D50,E50,F50)</f>
        <v>15.96</v>
      </c>
      <c r="H50" s="38">
        <f>AVERAGE(D50,E50,F50)</f>
        <v>7.98</v>
      </c>
      <c r="I50" s="24"/>
      <c r="J50" s="39">
        <v>0.0</v>
      </c>
      <c r="K50" s="40"/>
      <c r="L50" s="42">
        <f>H50*J50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5">
        <f>A49+1</f>
        <v>25</v>
      </c>
      <c r="B51" s="17" t="s">
        <v>110</v>
      </c>
      <c r="C51" s="19"/>
      <c r="D51" s="21" t="s">
        <v>105</v>
      </c>
      <c r="E51" s="21" t="s">
        <v>106</v>
      </c>
      <c r="F51" s="44" t="s">
        <v>111</v>
      </c>
      <c r="G51" s="23"/>
      <c r="H51" s="23"/>
      <c r="I51" s="24"/>
      <c r="J51" s="45"/>
      <c r="K51" s="47"/>
      <c r="L51" s="48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26"/>
      <c r="B52" s="27"/>
      <c r="C52" s="28"/>
      <c r="D52" s="30"/>
      <c r="E52" s="30"/>
      <c r="F52" s="30">
        <v>16.99</v>
      </c>
      <c r="G52" s="35">
        <f>SUM(D52,E52,F52)</f>
        <v>16.99</v>
      </c>
      <c r="H52" s="38">
        <f>AVERAGE(D52,E52,F52)</f>
        <v>16.99</v>
      </c>
      <c r="I52" s="24"/>
      <c r="J52" s="39">
        <v>0.0</v>
      </c>
      <c r="K52" s="40"/>
      <c r="L52" s="42">
        <f>H52*J52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5">
        <f>A51+1</f>
        <v>26</v>
      </c>
      <c r="B53" s="17" t="s">
        <v>112</v>
      </c>
      <c r="C53" s="19"/>
      <c r="D53" s="21" t="s">
        <v>212</v>
      </c>
      <c r="E53" s="44" t="s">
        <v>66</v>
      </c>
      <c r="F53" s="21" t="s">
        <v>114</v>
      </c>
      <c r="G53" s="23"/>
      <c r="H53" s="23"/>
      <c r="I53" s="24"/>
      <c r="J53" s="45"/>
      <c r="K53" s="47"/>
      <c r="L53" s="48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26"/>
      <c r="B54" s="27"/>
      <c r="C54" s="28"/>
      <c r="D54" s="30"/>
      <c r="E54" s="30">
        <v>34.95</v>
      </c>
      <c r="F54" s="30"/>
      <c r="G54" s="35">
        <f>SUM(D54,E54,F54)</f>
        <v>34.95</v>
      </c>
      <c r="H54" s="38">
        <f>AVERAGE(D54,E54,F54)</f>
        <v>34.95</v>
      </c>
      <c r="I54" s="64"/>
      <c r="J54" s="65">
        <v>0.0</v>
      </c>
      <c r="K54" s="64"/>
      <c r="L54" s="42">
        <f>H54*J54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14" t="s">
        <v>115</v>
      </c>
      <c r="B55" s="27"/>
      <c r="C55" s="27"/>
      <c r="D55" s="27"/>
      <c r="E55" s="27"/>
      <c r="F55" s="27"/>
      <c r="G55" s="67"/>
      <c r="H55" s="68">
        <f>SUM(H4:H54)</f>
        <v>375.8366667</v>
      </c>
      <c r="I55" s="64"/>
      <c r="J55" s="69" t="s">
        <v>9</v>
      </c>
      <c r="K55" s="28"/>
      <c r="L55" s="70">
        <f>SUM(L4:L54)</f>
        <v>654.6627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71" t="s">
        <v>117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5">
        <f>A53+1</f>
        <v>27</v>
      </c>
      <c r="B57" s="17" t="s">
        <v>118</v>
      </c>
      <c r="C57" s="19"/>
      <c r="D57" s="21" t="s">
        <v>119</v>
      </c>
      <c r="E57" s="21" t="s">
        <v>120</v>
      </c>
      <c r="F57" s="21" t="s">
        <v>121</v>
      </c>
      <c r="G57" s="23"/>
      <c r="H57" s="23"/>
      <c r="I57" s="24"/>
      <c r="J57" s="47"/>
      <c r="K57" s="27"/>
      <c r="L57" s="6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26"/>
      <c r="B58" s="27"/>
      <c r="C58" s="28"/>
      <c r="D58" s="30">
        <v>5.99</v>
      </c>
      <c r="E58" s="30"/>
      <c r="F58" s="30"/>
      <c r="G58" s="35">
        <f>SUM(D58,E58,F58)</f>
        <v>5.99</v>
      </c>
      <c r="H58" s="38">
        <f>AVERAGE(D58,E58,F58)</f>
        <v>5.99</v>
      </c>
      <c r="I58" s="24"/>
      <c r="J58" s="73">
        <v>4.0</v>
      </c>
      <c r="K58" s="40"/>
      <c r="L58" s="42">
        <f>H58*J58</f>
        <v>23.96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5">
        <f>A57+1</f>
        <v>28</v>
      </c>
      <c r="B59" s="17" t="s">
        <v>122</v>
      </c>
      <c r="C59" s="19"/>
      <c r="D59" s="21" t="s">
        <v>123</v>
      </c>
      <c r="E59" s="21" t="s">
        <v>124</v>
      </c>
      <c r="F59" s="21" t="s">
        <v>46</v>
      </c>
      <c r="G59" s="23"/>
      <c r="H59" s="23"/>
      <c r="I59" s="24"/>
      <c r="J59" s="47"/>
      <c r="K59" s="27"/>
      <c r="L59" s="6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26"/>
      <c r="B60" s="27"/>
      <c r="C60" s="28"/>
      <c r="D60" s="30">
        <v>14.99</v>
      </c>
      <c r="E60" s="30">
        <v>14.99</v>
      </c>
      <c r="F60" s="62"/>
      <c r="G60" s="35">
        <f>SUM(D60,E60,F60)</f>
        <v>29.98</v>
      </c>
      <c r="H60" s="38">
        <f>AVERAGE(D60,E60,F60)</f>
        <v>14.99</v>
      </c>
      <c r="I60" s="24"/>
      <c r="J60" s="73">
        <v>15.0</v>
      </c>
      <c r="K60" s="40"/>
      <c r="L60" s="42">
        <f>H60*J60</f>
        <v>224.85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5">
        <f>A59+1</f>
        <v>29</v>
      </c>
      <c r="B61" s="17" t="s">
        <v>127</v>
      </c>
      <c r="C61" s="19"/>
      <c r="D61" s="44" t="s">
        <v>169</v>
      </c>
      <c r="E61" s="21" t="s">
        <v>128</v>
      </c>
      <c r="F61" s="21" t="s">
        <v>129</v>
      </c>
      <c r="G61" s="23"/>
      <c r="H61" s="23"/>
      <c r="I61" s="24"/>
      <c r="J61" s="47"/>
      <c r="K61" s="27"/>
      <c r="L61" s="6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26"/>
      <c r="B62" s="27"/>
      <c r="C62" s="28"/>
      <c r="D62" s="30">
        <v>3.99</v>
      </c>
      <c r="E62" s="30"/>
      <c r="F62" s="30"/>
      <c r="G62" s="35">
        <f>SUM(D62,E62,F62)</f>
        <v>3.99</v>
      </c>
      <c r="H62" s="38">
        <f>AVERAGE(D62,E62,F62)</f>
        <v>3.99</v>
      </c>
      <c r="I62" s="24"/>
      <c r="J62" s="73">
        <v>2.0</v>
      </c>
      <c r="K62" s="40"/>
      <c r="L62" s="42">
        <f>H62*J62</f>
        <v>7.98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5">
        <f>A61+1</f>
        <v>30</v>
      </c>
      <c r="B63" s="17" t="s">
        <v>131</v>
      </c>
      <c r="C63" s="19"/>
      <c r="D63" s="44" t="s">
        <v>123</v>
      </c>
      <c r="E63" s="21" t="s">
        <v>124</v>
      </c>
      <c r="F63" s="21" t="s">
        <v>132</v>
      </c>
      <c r="G63" s="23"/>
      <c r="H63" s="23"/>
      <c r="I63" s="24"/>
      <c r="J63" s="47"/>
      <c r="K63" s="27"/>
      <c r="L63" s="6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26"/>
      <c r="B64" s="27"/>
      <c r="C64" s="28"/>
      <c r="D64" s="30">
        <v>2.99</v>
      </c>
      <c r="E64" s="30"/>
      <c r="F64" s="30"/>
      <c r="G64" s="35">
        <f>SUM(D64,E64,F64)</f>
        <v>2.99</v>
      </c>
      <c r="H64" s="38">
        <f>AVERAGE(D64,E64,F64)</f>
        <v>2.99</v>
      </c>
      <c r="I64" s="64"/>
      <c r="J64" s="73">
        <v>2.0</v>
      </c>
      <c r="K64" s="40"/>
      <c r="L64" s="42">
        <f>H64*J64</f>
        <v>5.98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6" t="s">
        <v>115</v>
      </c>
      <c r="B65" s="27"/>
      <c r="C65" s="27"/>
      <c r="D65" s="27"/>
      <c r="E65" s="27"/>
      <c r="F65" s="27"/>
      <c r="G65" s="67"/>
      <c r="H65" s="68">
        <f>SUM(H57:H64)</f>
        <v>27.96</v>
      </c>
      <c r="I65" s="64"/>
      <c r="J65" s="69" t="s">
        <v>9</v>
      </c>
      <c r="K65" s="28"/>
      <c r="L65" s="70">
        <f>SUM(L57:L64)</f>
        <v>262.77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71" t="s">
        <v>134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5">
        <f>A63+1</f>
        <v>31</v>
      </c>
      <c r="B67" s="17" t="s">
        <v>136</v>
      </c>
      <c r="C67" s="19"/>
      <c r="D67" s="44" t="s">
        <v>172</v>
      </c>
      <c r="E67" s="44" t="s">
        <v>216</v>
      </c>
      <c r="F67" s="21" t="s">
        <v>139</v>
      </c>
      <c r="G67" s="23"/>
      <c r="H67" s="23"/>
      <c r="I67" s="24"/>
      <c r="J67" s="47"/>
      <c r="K67" s="27"/>
      <c r="L67" s="6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26"/>
      <c r="B68" s="27"/>
      <c r="C68" s="28"/>
      <c r="D68" s="30">
        <v>4.99</v>
      </c>
      <c r="E68" s="30">
        <v>7.69</v>
      </c>
      <c r="F68" s="30"/>
      <c r="G68" s="35">
        <f>SUM(D68,E68,F68)</f>
        <v>12.68</v>
      </c>
      <c r="H68" s="38">
        <f>AVERAGE(D68,E68,F68)</f>
        <v>6.34</v>
      </c>
      <c r="I68" s="24"/>
      <c r="J68" s="73">
        <v>3.0</v>
      </c>
      <c r="K68" s="40"/>
      <c r="L68" s="42">
        <f>H68*J68</f>
        <v>19.02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5">
        <f>A67+1</f>
        <v>32</v>
      </c>
      <c r="B69" s="17" t="s">
        <v>140</v>
      </c>
      <c r="C69" s="19"/>
      <c r="D69" s="21" t="s">
        <v>160</v>
      </c>
      <c r="E69" s="21" t="s">
        <v>142</v>
      </c>
      <c r="F69" s="21" t="s">
        <v>46</v>
      </c>
      <c r="G69" s="23"/>
      <c r="H69" s="23"/>
      <c r="I69" s="24"/>
      <c r="J69" s="47"/>
      <c r="K69" s="27"/>
      <c r="L69" s="6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26"/>
      <c r="B70" s="27"/>
      <c r="C70" s="28"/>
      <c r="D70" s="30">
        <v>6.99</v>
      </c>
      <c r="E70" s="30">
        <v>5.99</v>
      </c>
      <c r="F70" s="62"/>
      <c r="G70" s="35">
        <f>SUM(D70,E70,F70)</f>
        <v>12.98</v>
      </c>
      <c r="H70" s="38">
        <f>AVERAGE(D70,E70,F70)</f>
        <v>6.49</v>
      </c>
      <c r="I70" s="24"/>
      <c r="J70" s="73">
        <v>2.0</v>
      </c>
      <c r="K70" s="40"/>
      <c r="L70" s="42">
        <f>H70*J70</f>
        <v>12.98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5">
        <f>A69+1</f>
        <v>33</v>
      </c>
      <c r="B71" s="17" t="s">
        <v>144</v>
      </c>
      <c r="C71" s="19"/>
      <c r="D71" s="21" t="s">
        <v>145</v>
      </c>
      <c r="E71" s="21" t="s">
        <v>146</v>
      </c>
      <c r="F71" s="21" t="s">
        <v>46</v>
      </c>
      <c r="G71" s="23"/>
      <c r="H71" s="23"/>
      <c r="I71" s="24"/>
      <c r="J71" s="47"/>
      <c r="K71" s="27"/>
      <c r="L71" s="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26"/>
      <c r="B72" s="27"/>
      <c r="C72" s="28"/>
      <c r="D72" s="30"/>
      <c r="E72" s="30">
        <v>2.89</v>
      </c>
      <c r="F72" s="62"/>
      <c r="G72" s="35">
        <f>SUM(D72,E72,F72)</f>
        <v>2.89</v>
      </c>
      <c r="H72" s="38">
        <f>AVERAGE(D72,E72,F72)</f>
        <v>2.89</v>
      </c>
      <c r="I72" s="24"/>
      <c r="J72" s="73">
        <v>10.0</v>
      </c>
      <c r="K72" s="40"/>
      <c r="L72" s="42">
        <f>H72*J72</f>
        <v>28.9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5">
        <f>A71+1</f>
        <v>34</v>
      </c>
      <c r="B73" s="17" t="s">
        <v>149</v>
      </c>
      <c r="C73" s="19"/>
      <c r="D73" s="44" t="s">
        <v>150</v>
      </c>
      <c r="E73" s="44" t="s">
        <v>151</v>
      </c>
      <c r="F73" s="21" t="s">
        <v>46</v>
      </c>
      <c r="G73" s="23"/>
      <c r="H73" s="23"/>
      <c r="I73" s="24"/>
      <c r="J73" s="47"/>
      <c r="K73" s="27"/>
      <c r="L73" s="6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26"/>
      <c r="B74" s="27"/>
      <c r="C74" s="28"/>
      <c r="D74" s="30">
        <v>19.99</v>
      </c>
      <c r="E74" s="30">
        <v>12.99</v>
      </c>
      <c r="F74" s="62"/>
      <c r="G74" s="35">
        <f>SUM(D74,E74,F74)</f>
        <v>32.98</v>
      </c>
      <c r="H74" s="38">
        <f>AVERAGE(D74,E74,F74)</f>
        <v>16.49</v>
      </c>
      <c r="I74" s="24"/>
      <c r="J74" s="73">
        <v>2.0</v>
      </c>
      <c r="K74" s="40"/>
      <c r="L74" s="42">
        <f>H74*J74</f>
        <v>32.98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5">
        <f>A73+1</f>
        <v>35</v>
      </c>
      <c r="B75" s="17" t="s">
        <v>152</v>
      </c>
      <c r="C75" s="19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7"/>
      <c r="K75" s="27"/>
      <c r="L75" s="6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26"/>
      <c r="B76" s="27"/>
      <c r="C76" s="28"/>
      <c r="D76" s="30">
        <v>4.29</v>
      </c>
      <c r="E76" s="30"/>
      <c r="F76" s="62"/>
      <c r="G76" s="35">
        <f>SUM(D76,E76,F76)</f>
        <v>4.29</v>
      </c>
      <c r="H76" s="38">
        <f>AVERAGE(D76,E76,F76)</f>
        <v>4.29</v>
      </c>
      <c r="I76" s="64"/>
      <c r="J76" s="73">
        <v>1.0</v>
      </c>
      <c r="K76" s="40"/>
      <c r="L76" s="42">
        <f>H76*J76</f>
        <v>4.29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6" t="s">
        <v>115</v>
      </c>
      <c r="B77" s="27"/>
      <c r="C77" s="27"/>
      <c r="D77" s="27"/>
      <c r="E77" s="27"/>
      <c r="F77" s="27"/>
      <c r="G77" s="67"/>
      <c r="H77" s="68">
        <f>SUM(H68:H76)</f>
        <v>36.5</v>
      </c>
      <c r="I77" s="64"/>
      <c r="J77" s="69" t="s">
        <v>9</v>
      </c>
      <c r="K77" s="28"/>
      <c r="L77" s="70">
        <f>SUM(L68:L76)</f>
        <v>98.17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74"/>
      <c r="B78" s="6"/>
      <c r="C78" s="6"/>
      <c r="D78" s="6"/>
      <c r="E78" s="6"/>
      <c r="F78" s="6"/>
      <c r="G78" s="6"/>
      <c r="H78" s="75"/>
      <c r="I78" s="6"/>
      <c r="J78" s="6"/>
      <c r="K78" s="6"/>
      <c r="L78" s="7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74"/>
      <c r="B79" s="6"/>
      <c r="C79" s="6"/>
      <c r="D79" s="6"/>
      <c r="E79" s="6"/>
      <c r="F79" s="6"/>
      <c r="G79" s="78"/>
      <c r="H79" s="79"/>
      <c r="I79" s="6"/>
      <c r="J79" s="6"/>
      <c r="K79" s="78"/>
      <c r="L79" s="8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74"/>
      <c r="B80" s="6"/>
      <c r="C80" s="6"/>
      <c r="D80" s="6"/>
      <c r="E80" s="6"/>
      <c r="F80" s="24"/>
      <c r="G80" s="81" t="s">
        <v>9</v>
      </c>
      <c r="H80" s="68">
        <f>H55+H65+H77</f>
        <v>440.2966667</v>
      </c>
      <c r="I80" s="6"/>
      <c r="J80" s="24"/>
      <c r="K80" s="81" t="s">
        <v>9</v>
      </c>
      <c r="L80" s="70">
        <f>L55+L65+L77</f>
        <v>1015.6027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75"/>
      <c r="I82" s="6"/>
      <c r="J82" s="6"/>
      <c r="K82" s="6"/>
      <c r="L82" s="7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75"/>
      <c r="I83" s="6"/>
      <c r="J83" s="6"/>
      <c r="K83" s="6"/>
      <c r="L83" s="7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204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191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19.78</v>
      </c>
      <c r="E4" s="43">
        <v>18.18</v>
      </c>
      <c r="F4" s="43">
        <v>14.48</v>
      </c>
      <c r="G4" s="46">
        <f>SUM(D4,E4,F4)</f>
        <v>52.44</v>
      </c>
      <c r="H4" s="49">
        <f>AVERAGE(D4,E4,F4)</f>
        <v>17.48</v>
      </c>
      <c r="I4" s="36"/>
      <c r="J4" s="50">
        <v>0.6</v>
      </c>
      <c r="K4" s="51" t="s">
        <v>15</v>
      </c>
      <c r="L4" s="52">
        <f>H4*J4</f>
        <v>10.488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6" t="s">
        <v>17</v>
      </c>
      <c r="F5" s="32" t="s">
        <v>207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10.184</v>
      </c>
      <c r="E6" s="43"/>
      <c r="F6" s="43">
        <v>10.28</v>
      </c>
      <c r="G6" s="46">
        <f>SUM(D6,E6,F6)</f>
        <v>20.464</v>
      </c>
      <c r="H6" s="49">
        <f>AVERAGE(D6,E6,F6)</f>
        <v>10.232</v>
      </c>
      <c r="I6" s="36"/>
      <c r="J6" s="50">
        <v>4.0</v>
      </c>
      <c r="K6" s="51"/>
      <c r="L6" s="52">
        <f>H6*J6</f>
        <v>40.928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6" t="s">
        <v>25</v>
      </c>
      <c r="F7" s="32" t="s">
        <v>14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14.98</v>
      </c>
      <c r="E8" s="43"/>
      <c r="F8" s="43" t="s">
        <v>208</v>
      </c>
      <c r="G8" s="46">
        <f>SUM(D8,E8,F8)</f>
        <v>14.98</v>
      </c>
      <c r="H8" s="49">
        <f>AVERAGE(D8,E8,F8)</f>
        <v>14.98</v>
      </c>
      <c r="I8" s="36"/>
      <c r="J8" s="50">
        <v>0.6</v>
      </c>
      <c r="K8" s="51"/>
      <c r="L8" s="52">
        <f>H8*J8</f>
        <v>8.988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3" t="s">
        <v>31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31.18</v>
      </c>
      <c r="E10" s="43">
        <v>28.18</v>
      </c>
      <c r="F10" s="43">
        <v>24.78</v>
      </c>
      <c r="G10" s="46">
        <f>SUM(D10,E10,F10)</f>
        <v>84.14</v>
      </c>
      <c r="H10" s="49">
        <f>AVERAGE(D10,E10,F10)</f>
        <v>28.04666667</v>
      </c>
      <c r="I10" s="36"/>
      <c r="J10" s="50">
        <v>1.2</v>
      </c>
      <c r="K10" s="51"/>
      <c r="L10" s="52">
        <f>H10*J10</f>
        <v>33.656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7" t="s">
        <v>35</v>
      </c>
      <c r="E11" s="57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4.58</v>
      </c>
      <c r="E12" s="43">
        <v>6.18</v>
      </c>
      <c r="F12" s="43">
        <v>6.88</v>
      </c>
      <c r="G12" s="46">
        <f>SUM(D12,E12,F12)</f>
        <v>17.64</v>
      </c>
      <c r="H12" s="49">
        <f>AVERAGE(D12,E12,F12)</f>
        <v>5.88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7" t="s">
        <v>48</v>
      </c>
      <c r="E13" s="57" t="s">
        <v>210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4.78</v>
      </c>
      <c r="E14" s="43">
        <v>5.59</v>
      </c>
      <c r="F14" s="43"/>
      <c r="G14" s="46">
        <f>SUM(D14,E14,F14)</f>
        <v>10.37</v>
      </c>
      <c r="H14" s="49">
        <f>AVERAGE(D14,E14,F14)</f>
        <v>5.185</v>
      </c>
      <c r="I14" s="36"/>
      <c r="J14" s="50">
        <v>1.0</v>
      </c>
      <c r="K14" s="51"/>
      <c r="L14" s="52">
        <f>H14*J14</f>
        <v>5.185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8.98</v>
      </c>
      <c r="E16" s="63"/>
      <c r="F16" s="63"/>
      <c r="G16" s="46">
        <f>SUM(D16,E16,F16)</f>
        <v>8.98</v>
      </c>
      <c r="H16" s="49">
        <f>AVERAGE(D16,E16,F16)</f>
        <v>8.98</v>
      </c>
      <c r="I16" s="36"/>
      <c r="J16" s="50">
        <v>6.0</v>
      </c>
      <c r="K16" s="51"/>
      <c r="L16" s="52">
        <f>H16*J16</f>
        <v>53.88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6.98</v>
      </c>
      <c r="E18" s="63"/>
      <c r="F18" s="63"/>
      <c r="G18" s="46">
        <f>SUM(D18,E18,F18)</f>
        <v>6.98</v>
      </c>
      <c r="H18" s="49">
        <f>AVERAGE(D18,E18,F18)</f>
        <v>6.98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6.98</v>
      </c>
      <c r="E20" s="63"/>
      <c r="F20" s="63"/>
      <c r="G20" s="46">
        <f>SUM(D20,E20,F20)</f>
        <v>6.98</v>
      </c>
      <c r="H20" s="49">
        <f>AVERAGE(D20,E20,F20)</f>
        <v>6.98</v>
      </c>
      <c r="I20" s="36"/>
      <c r="J20" s="50">
        <v>9.0</v>
      </c>
      <c r="K20" s="51"/>
      <c r="L20" s="52">
        <f>H20*J20</f>
        <v>62.82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7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19.98</v>
      </c>
      <c r="E22" s="63"/>
      <c r="F22" s="63"/>
      <c r="G22" s="46">
        <f>SUM(D22,E22,F22)</f>
        <v>19.98</v>
      </c>
      <c r="H22" s="49">
        <f>AVERAGE(D22,E22,F22)</f>
        <v>19.98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9.48</v>
      </c>
      <c r="E24" s="43">
        <v>9.98</v>
      </c>
      <c r="F24" s="63"/>
      <c r="G24" s="46">
        <f>SUM(D24,E24,F24)</f>
        <v>19.46</v>
      </c>
      <c r="H24" s="49">
        <f>AVERAGE(D24,E24,F24)</f>
        <v>9.73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7" t="s">
        <v>92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6.18</v>
      </c>
      <c r="E26" s="43">
        <v>4.18</v>
      </c>
      <c r="F26" s="43"/>
      <c r="G26" s="46">
        <f>SUM(D26,E26,F26)</f>
        <v>10.36</v>
      </c>
      <c r="H26" s="49">
        <f>AVERAGE(D26,E26,F26)</f>
        <v>5.18</v>
      </c>
      <c r="I26" s="9"/>
      <c r="J26" s="50">
        <v>3.0</v>
      </c>
      <c r="K26" s="51"/>
      <c r="L26" s="52">
        <f>H26*J26</f>
        <v>15.54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97" t="s">
        <v>213</v>
      </c>
      <c r="C27" s="55"/>
      <c r="D27" s="57" t="s">
        <v>76</v>
      </c>
      <c r="E27" s="57" t="s">
        <v>101</v>
      </c>
      <c r="F27" s="32" t="s">
        <v>214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1.88</v>
      </c>
      <c r="E28" s="43">
        <v>7.18</v>
      </c>
      <c r="F28" s="43">
        <v>2.18</v>
      </c>
      <c r="G28" s="46">
        <f>SUM(D28,E28,F28)</f>
        <v>11.24</v>
      </c>
      <c r="H28" s="49">
        <f>AVERAGE(D28,E28,F28)</f>
        <v>3.746666667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17.98</v>
      </c>
      <c r="E30" s="63"/>
      <c r="F30" s="63"/>
      <c r="G30" s="46">
        <f>SUM(D30,E30,F30)</f>
        <v>17.98</v>
      </c>
      <c r="H30" s="49">
        <f>AVERAGE(D30,E30,F30)</f>
        <v>17.98</v>
      </c>
      <c r="I30" s="9"/>
      <c r="J30" s="50">
        <v>6.0</v>
      </c>
      <c r="K30" s="51"/>
      <c r="L30" s="52">
        <f>H30*J30</f>
        <v>107.88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7.98</v>
      </c>
      <c r="E32" s="43">
        <v>3.98</v>
      </c>
      <c r="F32" s="63"/>
      <c r="G32" s="46">
        <f>SUM(D32,E32,F32)</f>
        <v>11.96</v>
      </c>
      <c r="H32" s="49">
        <f>AVERAGE(D32,E32,F32)</f>
        <v>5.98</v>
      </c>
      <c r="I32" s="9"/>
      <c r="J32" s="50">
        <v>7.5</v>
      </c>
      <c r="K32" s="51"/>
      <c r="L32" s="52">
        <f>H32*J32</f>
        <v>44.85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6" t="s">
        <v>87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7.69</v>
      </c>
      <c r="E34" s="63"/>
      <c r="F34" s="63"/>
      <c r="G34" s="46">
        <f>SUM(D34,E34,F34)</f>
        <v>7.69</v>
      </c>
      <c r="H34" s="49">
        <f>AVERAGE(D34,E34,F34)</f>
        <v>7.69</v>
      </c>
      <c r="I34" s="9"/>
      <c r="J34" s="50">
        <v>0.83</v>
      </c>
      <c r="K34" s="51"/>
      <c r="L34" s="52">
        <f>H34*J34</f>
        <v>6.3827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2" t="s">
        <v>125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/>
      <c r="E36" s="43">
        <v>6.48</v>
      </c>
      <c r="F36" s="43">
        <v>5.58</v>
      </c>
      <c r="G36" s="46">
        <f>SUM(D36,E36,F36)</f>
        <v>12.06</v>
      </c>
      <c r="H36" s="49">
        <f>AVERAGE(D36,E36,F36)</f>
        <v>6.03</v>
      </c>
      <c r="I36" s="9"/>
      <c r="J36" s="50">
        <v>7.5</v>
      </c>
      <c r="K36" s="51"/>
      <c r="L36" s="52">
        <f>H36*J36</f>
        <v>45.225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7" t="s">
        <v>80</v>
      </c>
      <c r="E37" s="56" t="s">
        <v>84</v>
      </c>
      <c r="F37" s="32" t="s">
        <v>218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19.28</v>
      </c>
      <c r="E38" s="43">
        <v>17.48</v>
      </c>
      <c r="F38" s="43"/>
      <c r="G38" s="46">
        <f>SUM(D38,E38,F38)</f>
        <v>36.76</v>
      </c>
      <c r="H38" s="49">
        <f>AVERAGE(D38,E38,F38)</f>
        <v>18.38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6" t="s">
        <v>86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5.39</v>
      </c>
      <c r="E40" s="43">
        <v>3.69</v>
      </c>
      <c r="F40" s="43">
        <v>4.28</v>
      </c>
      <c r="G40" s="46">
        <f>SUM(D40,E40,F40)</f>
        <v>13.36</v>
      </c>
      <c r="H40" s="49">
        <f>AVERAGE(D40,E40,F40)</f>
        <v>4.453333333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186</v>
      </c>
      <c r="E41" s="56" t="s">
        <v>90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/>
      <c r="E42" s="43">
        <v>2.58</v>
      </c>
      <c r="F42" s="43">
        <v>2.9</v>
      </c>
      <c r="G42" s="46">
        <f>SUM(D42,E42,F42)</f>
        <v>5.48</v>
      </c>
      <c r="H42" s="49">
        <f>AVERAGE(D42,E42,F42)</f>
        <v>2.74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3" t="s">
        <v>97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49.98</v>
      </c>
      <c r="E44" s="43">
        <v>52.98</v>
      </c>
      <c r="F44" s="43">
        <v>49.98</v>
      </c>
      <c r="G44" s="46">
        <f>SUM(D44,E44,F44)</f>
        <v>152.94</v>
      </c>
      <c r="H44" s="49">
        <f>AVERAGE(D44,E44,F44)</f>
        <v>50.98</v>
      </c>
      <c r="I44" s="9"/>
      <c r="J44" s="50">
        <v>3.0</v>
      </c>
      <c r="K44" s="51"/>
      <c r="L44" s="52">
        <f>H44*J44</f>
        <v>152.94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34.0</v>
      </c>
      <c r="E46" s="43">
        <v>25.0</v>
      </c>
      <c r="F46" s="43">
        <v>46.0</v>
      </c>
      <c r="G46" s="46">
        <f>SUM(D46,E46,F46)</f>
        <v>105</v>
      </c>
      <c r="H46" s="49">
        <f>AVERAGE(D46,E46,F46)</f>
        <v>35</v>
      </c>
      <c r="I46" s="9"/>
      <c r="J46" s="50">
        <v>3.0</v>
      </c>
      <c r="K46" s="51"/>
      <c r="L46" s="52">
        <f>H46*J46</f>
        <v>105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6" t="s">
        <v>105</v>
      </c>
      <c r="E47" s="56" t="s">
        <v>106</v>
      </c>
      <c r="F47" s="32" t="s">
        <v>219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12.0</v>
      </c>
      <c r="E48" s="43">
        <v>7.98</v>
      </c>
      <c r="F48" s="43"/>
      <c r="G48" s="46">
        <f>SUM(D48,E48,F48)</f>
        <v>19.98</v>
      </c>
      <c r="H48" s="49">
        <f>AVERAGE(D48,E48,F48)</f>
        <v>9.99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7" t="s">
        <v>220</v>
      </c>
      <c r="E49" s="56" t="s">
        <v>106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12.0</v>
      </c>
      <c r="E50" s="43"/>
      <c r="F50" s="43">
        <v>8.98</v>
      </c>
      <c r="G50" s="46">
        <f>SUM(D50,E50,F50)</f>
        <v>20.98</v>
      </c>
      <c r="H50" s="49">
        <f>AVERAGE(D50,E50,F50)</f>
        <v>10.49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221</v>
      </c>
      <c r="E51" s="57" t="s">
        <v>165</v>
      </c>
      <c r="F51" s="32" t="s">
        <v>222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/>
      <c r="E52" s="43">
        <v>21.58</v>
      </c>
      <c r="F52" s="43">
        <v>17.98</v>
      </c>
      <c r="G52" s="46">
        <f>SUM(D52,E52,F52)</f>
        <v>39.56</v>
      </c>
      <c r="H52" s="49">
        <f>AVERAGE(D52,E52,F52)</f>
        <v>19.78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7" t="s">
        <v>66</v>
      </c>
      <c r="E53" s="57" t="s">
        <v>130</v>
      </c>
      <c r="F53" s="32" t="s">
        <v>162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34.95</v>
      </c>
      <c r="E54" s="43"/>
      <c r="F54" s="43">
        <v>39.98</v>
      </c>
      <c r="G54" s="46">
        <f>SUM(D54,E54,F54)</f>
        <v>74.93</v>
      </c>
      <c r="H54" s="49">
        <f>AVERAGE(D54,E54,F54)</f>
        <v>37.465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>
        <f>SUM(H4:H54)</f>
        <v>370.3386667</v>
      </c>
      <c r="I55" s="92"/>
      <c r="J55" s="93" t="s">
        <v>9</v>
      </c>
      <c r="K55" s="90"/>
      <c r="L55" s="94">
        <f>SUM(L4:L54)</f>
        <v>693.7627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7.99</v>
      </c>
      <c r="E58" s="43"/>
      <c r="F58" s="43">
        <v>11.99</v>
      </c>
      <c r="G58" s="46">
        <f>SUM(D58,E58,F58)</f>
        <v>19.98</v>
      </c>
      <c r="H58" s="49">
        <f>AVERAGE(D58,E58,F58)</f>
        <v>9.99</v>
      </c>
      <c r="I58" s="9"/>
      <c r="J58" s="99">
        <v>4.0</v>
      </c>
      <c r="K58" s="51"/>
      <c r="L58" s="52">
        <f>H58*J58</f>
        <v>39.96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7" t="s">
        <v>224</v>
      </c>
      <c r="E59" s="57" t="s">
        <v>211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4.39</v>
      </c>
      <c r="E60" s="43">
        <v>3.29</v>
      </c>
      <c r="F60" s="63"/>
      <c r="G60" s="46">
        <f>SUM(D60,E60,F60)</f>
        <v>7.68</v>
      </c>
      <c r="H60" s="49">
        <f>AVERAGE(D60,E60,F60)</f>
        <v>3.84</v>
      </c>
      <c r="I60" s="9"/>
      <c r="J60" s="99">
        <v>15.0</v>
      </c>
      <c r="K60" s="51"/>
      <c r="L60" s="52">
        <f>H60*J60</f>
        <v>57.6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7" t="s">
        <v>123</v>
      </c>
      <c r="E61" s="57" t="s">
        <v>128</v>
      </c>
      <c r="F61" s="32" t="s">
        <v>129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5.18</v>
      </c>
      <c r="E62" s="43"/>
      <c r="F62" s="43">
        <v>4.38</v>
      </c>
      <c r="G62" s="46">
        <f>SUM(D62,E62,F62)</f>
        <v>9.56</v>
      </c>
      <c r="H62" s="49">
        <f>AVERAGE(D62,E62,F62)</f>
        <v>4.78</v>
      </c>
      <c r="I62" s="9"/>
      <c r="J62" s="99">
        <v>2.0</v>
      </c>
      <c r="K62" s="51"/>
      <c r="L62" s="52">
        <f>H62*J62</f>
        <v>9.56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7" t="s">
        <v>175</v>
      </c>
      <c r="F63" s="33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/>
      <c r="E64" s="43">
        <v>3.15</v>
      </c>
      <c r="F64" s="43">
        <v>2.89</v>
      </c>
      <c r="G64" s="46">
        <f>SUM(D64,E64,F64)</f>
        <v>6.04</v>
      </c>
      <c r="H64" s="49">
        <f>AVERAGE(D64,E64,F64)</f>
        <v>3.02</v>
      </c>
      <c r="I64" s="9"/>
      <c r="J64" s="99">
        <v>2.0</v>
      </c>
      <c r="K64" s="51"/>
      <c r="L64" s="52">
        <f>H64*J64</f>
        <v>6.04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21.63</v>
      </c>
      <c r="I65" s="92"/>
      <c r="J65" s="93" t="s">
        <v>9</v>
      </c>
      <c r="K65" s="90"/>
      <c r="L65" s="94">
        <f>SUM(L57:L64)</f>
        <v>113.16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6" t="s">
        <v>157</v>
      </c>
      <c r="E67" s="57" t="s">
        <v>172</v>
      </c>
      <c r="F67" s="32" t="s">
        <v>158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4.18</v>
      </c>
      <c r="E68" s="43">
        <v>6.98</v>
      </c>
      <c r="F68" s="43">
        <v>7.78</v>
      </c>
      <c r="G68" s="46">
        <f>SUM(D68,E68,F68)</f>
        <v>18.94</v>
      </c>
      <c r="H68" s="49">
        <f>AVERAGE(D68,E68,F68)</f>
        <v>6.313333333</v>
      </c>
      <c r="I68" s="9"/>
      <c r="J68" s="99">
        <v>3.0</v>
      </c>
      <c r="K68" s="51"/>
      <c r="L68" s="52">
        <f>H68*J68</f>
        <v>18.94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2" t="s">
        <v>226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6.68</v>
      </c>
      <c r="E70" s="43">
        <v>4.98</v>
      </c>
      <c r="F70" s="43">
        <v>5.58</v>
      </c>
      <c r="G70" s="46">
        <f>SUM(D70,E70,F70)</f>
        <v>17.24</v>
      </c>
      <c r="H70" s="49">
        <f>AVERAGE(D70,E70,F70)</f>
        <v>5.746666667</v>
      </c>
      <c r="I70" s="9"/>
      <c r="J70" s="99">
        <v>2.0</v>
      </c>
      <c r="K70" s="51"/>
      <c r="L70" s="52">
        <f>H70*J70</f>
        <v>11.49333333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7" t="s">
        <v>146</v>
      </c>
      <c r="F71" s="32" t="s">
        <v>227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3.18</v>
      </c>
      <c r="E72" s="43">
        <v>2.99</v>
      </c>
      <c r="F72" s="43">
        <v>1.89</v>
      </c>
      <c r="G72" s="46">
        <f>SUM(D72,E72,F72)</f>
        <v>8.06</v>
      </c>
      <c r="H72" s="49">
        <f>AVERAGE(D72,E72,F72)</f>
        <v>2.686666667</v>
      </c>
      <c r="I72" s="9"/>
      <c r="J72" s="99">
        <v>10.0</v>
      </c>
      <c r="K72" s="51"/>
      <c r="L72" s="52">
        <f>H72*J72</f>
        <v>26.86666667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229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20.58</v>
      </c>
      <c r="E74" s="43">
        <v>13.69</v>
      </c>
      <c r="F74" s="63"/>
      <c r="G74" s="46">
        <f>SUM(D74,E74,F74)</f>
        <v>34.27</v>
      </c>
      <c r="H74" s="49">
        <f>AVERAGE(D74,E74,F74)</f>
        <v>17.135</v>
      </c>
      <c r="I74" s="9"/>
      <c r="J74" s="99">
        <v>2.0</v>
      </c>
      <c r="K74" s="51"/>
      <c r="L74" s="52">
        <f>H74*J74</f>
        <v>34.27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7" t="s">
        <v>154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3.88</v>
      </c>
      <c r="E76" s="43">
        <v>8.18</v>
      </c>
      <c r="F76" s="63"/>
      <c r="G76" s="46">
        <f>SUM(D76,E76,F76)</f>
        <v>12.06</v>
      </c>
      <c r="H76" s="49">
        <f>AVERAGE(D76,E76,F76)</f>
        <v>6.03</v>
      </c>
      <c r="I76" s="9"/>
      <c r="J76" s="99">
        <v>1.0</v>
      </c>
      <c r="K76" s="51"/>
      <c r="L76" s="52">
        <f>H76*J76</f>
        <v>6.03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37.91166667</v>
      </c>
      <c r="I77" s="92"/>
      <c r="J77" s="93" t="s">
        <v>9</v>
      </c>
      <c r="K77" s="90"/>
      <c r="L77" s="102">
        <f>SUM(L68:L76)</f>
        <v>97.6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429.8803333</v>
      </c>
      <c r="I80" s="9"/>
      <c r="J80" s="9"/>
      <c r="K80" s="107" t="s">
        <v>9</v>
      </c>
      <c r="L80" s="102">
        <f>L55+L65+L77</f>
        <v>904.5227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225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2" t="s">
        <v>6</v>
      </c>
      <c r="E3" s="33" t="s">
        <v>7</v>
      </c>
      <c r="F3" s="32" t="s">
        <v>14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17.8</v>
      </c>
      <c r="E4" s="43">
        <v>15.98</v>
      </c>
      <c r="F4" s="43">
        <v>23.9</v>
      </c>
      <c r="G4" s="46">
        <f>SUM(D4,E4,F4)</f>
        <v>57.68</v>
      </c>
      <c r="H4" s="49">
        <f>AVERAGE(D4,E4,F4)</f>
        <v>19.22666667</v>
      </c>
      <c r="I4" s="36"/>
      <c r="J4" s="50">
        <v>0.6</v>
      </c>
      <c r="K4" s="51" t="s">
        <v>15</v>
      </c>
      <c r="L4" s="52">
        <f>H4*J4</f>
        <v>11.536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7" t="s">
        <v>32</v>
      </c>
      <c r="F5" s="32" t="s">
        <v>33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9.48</v>
      </c>
      <c r="E6" s="43">
        <v>7.78</v>
      </c>
      <c r="F6" s="43">
        <v>10.68</v>
      </c>
      <c r="G6" s="46">
        <f>SUM(D6,E6,F6)</f>
        <v>27.94</v>
      </c>
      <c r="H6" s="49">
        <f>AVERAGE(D6,E6,F6)</f>
        <v>9.313333333</v>
      </c>
      <c r="I6" s="36"/>
      <c r="J6" s="50">
        <v>4.0</v>
      </c>
      <c r="K6" s="51"/>
      <c r="L6" s="52">
        <f>H6*J6</f>
        <v>37.25333333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7" t="s">
        <v>44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12.98</v>
      </c>
      <c r="E8" s="43">
        <v>13.58</v>
      </c>
      <c r="F8" s="43">
        <v>13.28</v>
      </c>
      <c r="G8" s="46">
        <f>SUM(D8,E8,F8)</f>
        <v>39.84</v>
      </c>
      <c r="H8" s="49">
        <f>AVERAGE(D8,E8,F8)</f>
        <v>13.28</v>
      </c>
      <c r="I8" s="36"/>
      <c r="J8" s="50">
        <v>0.6</v>
      </c>
      <c r="K8" s="51"/>
      <c r="L8" s="52">
        <f>H8*J8</f>
        <v>7.968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7" t="s">
        <v>30</v>
      </c>
      <c r="F9" s="32" t="s">
        <v>230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27.9</v>
      </c>
      <c r="E10" s="43">
        <v>23.9</v>
      </c>
      <c r="F10" s="43">
        <v>25.9</v>
      </c>
      <c r="G10" s="46">
        <f>SUM(D10,E10,F10)</f>
        <v>77.7</v>
      </c>
      <c r="H10" s="49">
        <f>AVERAGE(D10,E10,F10)</f>
        <v>25.9</v>
      </c>
      <c r="I10" s="36"/>
      <c r="J10" s="50">
        <v>1.2</v>
      </c>
      <c r="K10" s="51"/>
      <c r="L10" s="52">
        <f>H10*J10</f>
        <v>31.08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6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4.63</v>
      </c>
      <c r="E12" s="43">
        <v>4.48</v>
      </c>
      <c r="F12" s="43">
        <v>4.78</v>
      </c>
      <c r="G12" s="46">
        <f>SUM(D12,E12,F12)</f>
        <v>13.89</v>
      </c>
      <c r="H12" s="49">
        <f>AVERAGE(D12,E12,F12)</f>
        <v>4.63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6" t="s">
        <v>39</v>
      </c>
      <c r="E13" s="57" t="s">
        <v>63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4.78</v>
      </c>
      <c r="E14" s="43">
        <v>4.98</v>
      </c>
      <c r="F14" s="43">
        <v>4.88</v>
      </c>
      <c r="G14" s="46">
        <f>SUM(D14,E14,F14)</f>
        <v>14.64</v>
      </c>
      <c r="H14" s="49">
        <f>AVERAGE(D14,E14,F14)</f>
        <v>4.88</v>
      </c>
      <c r="I14" s="36"/>
      <c r="J14" s="50">
        <v>1.0</v>
      </c>
      <c r="K14" s="51"/>
      <c r="L14" s="52">
        <f>H14*J14</f>
        <v>4.88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8.98</v>
      </c>
      <c r="E16" s="63"/>
      <c r="F16" s="63"/>
      <c r="G16" s="46">
        <f>SUM(D16,E16,F16)</f>
        <v>8.98</v>
      </c>
      <c r="H16" s="49">
        <f>AVERAGE(D16,E16,F16)</f>
        <v>8.98</v>
      </c>
      <c r="I16" s="36"/>
      <c r="J16" s="50">
        <v>6.0</v>
      </c>
      <c r="K16" s="51"/>
      <c r="L16" s="52">
        <f>H16*J16</f>
        <v>53.88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7.98</v>
      </c>
      <c r="E18" s="63"/>
      <c r="F18" s="63"/>
      <c r="G18" s="46">
        <f>SUM(D18,E18,F18)</f>
        <v>7.98</v>
      </c>
      <c r="H18" s="49">
        <f>AVERAGE(D18,E18,F18)</f>
        <v>7.98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10.98</v>
      </c>
      <c r="E20" s="63"/>
      <c r="F20" s="63"/>
      <c r="G20" s="46">
        <f>SUM(D20,E20,F20)</f>
        <v>10.98</v>
      </c>
      <c r="H20" s="49">
        <f>AVERAGE(D20,E20,F20)</f>
        <v>10.98</v>
      </c>
      <c r="I20" s="36"/>
      <c r="J20" s="50">
        <v>9.0</v>
      </c>
      <c r="K20" s="51"/>
      <c r="L20" s="52">
        <f>H20*J20</f>
        <v>98.82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18.98</v>
      </c>
      <c r="E22" s="63"/>
      <c r="F22" s="63"/>
      <c r="G22" s="46">
        <f>SUM(D22,E22,F22)</f>
        <v>18.98</v>
      </c>
      <c r="H22" s="49">
        <f>AVERAGE(D22,E22,F22)</f>
        <v>18.98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7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9.98</v>
      </c>
      <c r="E24" s="43">
        <v>9.98</v>
      </c>
      <c r="F24" s="63"/>
      <c r="G24" s="46">
        <f>SUM(D24,E24,F24)</f>
        <v>19.96</v>
      </c>
      <c r="H24" s="49">
        <f>AVERAGE(D24,E24,F24)</f>
        <v>9.98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7" t="s">
        <v>92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5.38</v>
      </c>
      <c r="E26" s="43">
        <v>3.98</v>
      </c>
      <c r="F26" s="43">
        <v>4.78</v>
      </c>
      <c r="G26" s="46">
        <f>SUM(D26,E26,F26)</f>
        <v>14.14</v>
      </c>
      <c r="H26" s="49">
        <f>AVERAGE(D26,E26,F26)</f>
        <v>4.713333333</v>
      </c>
      <c r="I26" s="9"/>
      <c r="J26" s="50">
        <v>3.0</v>
      </c>
      <c r="K26" s="51"/>
      <c r="L26" s="52">
        <f>H26*J26</f>
        <v>14.14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54" t="s">
        <v>64</v>
      </c>
      <c r="C27" s="55"/>
      <c r="D27" s="56" t="s">
        <v>65</v>
      </c>
      <c r="E27" s="57" t="s">
        <v>101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6.63</v>
      </c>
      <c r="E28" s="43">
        <v>6.98</v>
      </c>
      <c r="F28" s="43">
        <v>6.28</v>
      </c>
      <c r="G28" s="46">
        <f>SUM(D28,E28,F28)</f>
        <v>19.89</v>
      </c>
      <c r="H28" s="49">
        <f>AVERAGE(D28,E28,F28)</f>
        <v>6.63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14.8</v>
      </c>
      <c r="E30" s="63"/>
      <c r="F30" s="63"/>
      <c r="G30" s="46">
        <f>SUM(D30,E30,F30)</f>
        <v>14.8</v>
      </c>
      <c r="H30" s="49">
        <f>AVERAGE(D30,E30,F30)</f>
        <v>14.8</v>
      </c>
      <c r="I30" s="9"/>
      <c r="J30" s="50">
        <v>6.0</v>
      </c>
      <c r="K30" s="51"/>
      <c r="L30" s="52">
        <f>H30*J30</f>
        <v>88.8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7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5.98</v>
      </c>
      <c r="E32" s="43">
        <v>3.98</v>
      </c>
      <c r="F32" s="63"/>
      <c r="G32" s="46">
        <f>SUM(D32,E32,F32)</f>
        <v>9.96</v>
      </c>
      <c r="H32" s="49">
        <f>AVERAGE(D32,E32,F32)</f>
        <v>4.98</v>
      </c>
      <c r="I32" s="9"/>
      <c r="J32" s="50">
        <v>7.5</v>
      </c>
      <c r="K32" s="51"/>
      <c r="L32" s="52">
        <f>H32*J32</f>
        <v>37.35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7" t="s">
        <v>75</v>
      </c>
      <c r="E33" s="57" t="s">
        <v>77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6.98</v>
      </c>
      <c r="E34" s="43">
        <v>6.98</v>
      </c>
      <c r="F34" s="43">
        <v>6.98</v>
      </c>
      <c r="G34" s="46">
        <f>SUM(D34,E34,F34)</f>
        <v>20.94</v>
      </c>
      <c r="H34" s="49">
        <f>AVERAGE(D34,E34,F34)</f>
        <v>6.98</v>
      </c>
      <c r="I34" s="9"/>
      <c r="J34" s="50">
        <v>0.83</v>
      </c>
      <c r="K34" s="51"/>
      <c r="L34" s="52">
        <f>H34*J34</f>
        <v>5.7934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3" t="s">
        <v>82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5.48</v>
      </c>
      <c r="E36" s="43">
        <v>5.23</v>
      </c>
      <c r="F36" s="43">
        <v>4.98</v>
      </c>
      <c r="G36" s="46">
        <f>SUM(D36,E36,F36)</f>
        <v>15.69</v>
      </c>
      <c r="H36" s="49">
        <f>AVERAGE(D36,E36,F36)</f>
        <v>5.23</v>
      </c>
      <c r="I36" s="9"/>
      <c r="J36" s="50">
        <v>7.5</v>
      </c>
      <c r="K36" s="51"/>
      <c r="L36" s="52">
        <f>H36*J36</f>
        <v>39.225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54" t="s">
        <v>83</v>
      </c>
      <c r="C37" s="55"/>
      <c r="D37" s="56" t="s">
        <v>80</v>
      </c>
      <c r="E37" s="57" t="s">
        <v>125</v>
      </c>
      <c r="F37" s="33" t="s">
        <v>82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16.98</v>
      </c>
      <c r="E38" s="43">
        <v>16.48</v>
      </c>
      <c r="F38" s="43">
        <v>15.98</v>
      </c>
      <c r="G38" s="46">
        <f>SUM(D38,E38,F38)</f>
        <v>49.44</v>
      </c>
      <c r="H38" s="49">
        <f>AVERAGE(D38,E38,F38)</f>
        <v>16.48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7" t="s">
        <v>65</v>
      </c>
      <c r="E39" s="57" t="s">
        <v>133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4.78</v>
      </c>
      <c r="E40" s="43">
        <v>4.38</v>
      </c>
      <c r="F40" s="43">
        <v>3.98</v>
      </c>
      <c r="G40" s="46">
        <f>SUM(D40,E40,F40)</f>
        <v>13.14</v>
      </c>
      <c r="H40" s="49">
        <f>AVERAGE(D40,E40,F40)</f>
        <v>4.38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186</v>
      </c>
      <c r="E41" s="56" t="s">
        <v>90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>
        <v>3.48</v>
      </c>
      <c r="E42" s="43">
        <v>2.68</v>
      </c>
      <c r="F42" s="43">
        <v>2.98</v>
      </c>
      <c r="G42" s="46">
        <f>SUM(D42,E42,F42)</f>
        <v>9.14</v>
      </c>
      <c r="H42" s="49">
        <f>AVERAGE(D42,E42,F42)</f>
        <v>3.046666667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2" t="s">
        <v>143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49.98</v>
      </c>
      <c r="E44" s="43">
        <v>44.9</v>
      </c>
      <c r="F44" s="43">
        <v>39.9</v>
      </c>
      <c r="G44" s="46">
        <f>SUM(D44,E44,F44)</f>
        <v>134.78</v>
      </c>
      <c r="H44" s="49">
        <f>AVERAGE(D44,E44,F44)</f>
        <v>44.92666667</v>
      </c>
      <c r="I44" s="9"/>
      <c r="J44" s="50">
        <v>3.0</v>
      </c>
      <c r="K44" s="51"/>
      <c r="L44" s="52">
        <f>H44*J44</f>
        <v>134.78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2" t="s">
        <v>238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34.9</v>
      </c>
      <c r="E46" s="43">
        <v>19.98</v>
      </c>
      <c r="F46" s="43">
        <v>29.98</v>
      </c>
      <c r="G46" s="46">
        <f>SUM(D46,E46,F46)</f>
        <v>84.86</v>
      </c>
      <c r="H46" s="49">
        <f>AVERAGE(D46,E46,F46)</f>
        <v>28.28666667</v>
      </c>
      <c r="I46" s="9"/>
      <c r="J46" s="50">
        <v>3.0</v>
      </c>
      <c r="K46" s="51"/>
      <c r="L46" s="52">
        <f>H46*J46</f>
        <v>84.86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7" t="s">
        <v>116</v>
      </c>
      <c r="E47" s="56" t="s">
        <v>106</v>
      </c>
      <c r="F47" s="33" t="s">
        <v>46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8.98</v>
      </c>
      <c r="E48" s="43">
        <v>8.98</v>
      </c>
      <c r="F48" s="43"/>
      <c r="G48" s="46">
        <f>SUM(D48,E48,F48)</f>
        <v>17.96</v>
      </c>
      <c r="H48" s="49">
        <f>AVERAGE(D48,E48,F48)</f>
        <v>8.98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7" t="s">
        <v>126</v>
      </c>
      <c r="E49" s="56" t="s">
        <v>106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11.98</v>
      </c>
      <c r="E50" s="43">
        <v>7.98</v>
      </c>
      <c r="F50" s="43">
        <v>8.98</v>
      </c>
      <c r="G50" s="46">
        <f>SUM(D50,E50,F50)</f>
        <v>28.94</v>
      </c>
      <c r="H50" s="49">
        <f>AVERAGE(D50,E50,F50)</f>
        <v>9.646666667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240</v>
      </c>
      <c r="E51" s="57" t="s">
        <v>241</v>
      </c>
      <c r="F51" s="32" t="s">
        <v>159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18.98</v>
      </c>
      <c r="E52" s="43">
        <v>23.98</v>
      </c>
      <c r="F52" s="43">
        <v>14.98</v>
      </c>
      <c r="G52" s="46">
        <f>SUM(D52,E52,F52)</f>
        <v>57.94</v>
      </c>
      <c r="H52" s="49">
        <f>AVERAGE(D52,E52,F52)</f>
        <v>19.31333333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6" t="s">
        <v>239</v>
      </c>
      <c r="E53" s="56" t="s">
        <v>66</v>
      </c>
      <c r="F53" s="32" t="s">
        <v>162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44.5</v>
      </c>
      <c r="E54" s="43">
        <v>44.0</v>
      </c>
      <c r="F54" s="43">
        <v>45.0</v>
      </c>
      <c r="G54" s="46">
        <f>SUM(D54,E54,F54)</f>
        <v>133.5</v>
      </c>
      <c r="H54" s="49">
        <f>AVERAGE(D54,E54,F54)</f>
        <v>44.5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8" t="s">
        <v>164</v>
      </c>
      <c r="B55" s="89"/>
      <c r="C55" s="89"/>
      <c r="D55" s="89"/>
      <c r="E55" s="89"/>
      <c r="F55" s="89"/>
      <c r="G55" s="90"/>
      <c r="H55" s="91">
        <f>SUM(H4:H54)</f>
        <v>357.0233333</v>
      </c>
      <c r="I55" s="92"/>
      <c r="J55" s="93" t="s">
        <v>9</v>
      </c>
      <c r="K55" s="90"/>
      <c r="L55" s="94">
        <f>SUM(L4:L54)</f>
        <v>650.3657333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166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10.9</v>
      </c>
      <c r="E58" s="43">
        <v>11.9</v>
      </c>
      <c r="F58" s="43">
        <v>14.9</v>
      </c>
      <c r="G58" s="46">
        <f>SUM(D58,E58,F58)</f>
        <v>37.7</v>
      </c>
      <c r="H58" s="49">
        <f>AVERAGE(D58,E58,F58)</f>
        <v>12.56666667</v>
      </c>
      <c r="I58" s="9"/>
      <c r="J58" s="99">
        <v>4.0</v>
      </c>
      <c r="K58" s="51"/>
      <c r="L58" s="52">
        <f>H58*J58</f>
        <v>50.26666667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7" t="s">
        <v>168</v>
      </c>
      <c r="E59" s="57" t="s">
        <v>211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2.98</v>
      </c>
      <c r="E60" s="43">
        <v>3.8</v>
      </c>
      <c r="F60" s="63"/>
      <c r="G60" s="46">
        <f>SUM(D60,E60,F60)</f>
        <v>6.78</v>
      </c>
      <c r="H60" s="49">
        <f>AVERAGE(D60,E60,F60)</f>
        <v>3.39</v>
      </c>
      <c r="I60" s="9"/>
      <c r="J60" s="99">
        <v>15.0</v>
      </c>
      <c r="K60" s="51"/>
      <c r="L60" s="52">
        <f>H60*J60</f>
        <v>50.85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7" t="s">
        <v>245</v>
      </c>
      <c r="E61" s="57" t="s">
        <v>246</v>
      </c>
      <c r="F61" s="32" t="s">
        <v>247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3.4</v>
      </c>
      <c r="E62" s="43">
        <v>4.39</v>
      </c>
      <c r="F62" s="43">
        <v>3.6</v>
      </c>
      <c r="G62" s="46">
        <f>SUM(D62,E62,F62)</f>
        <v>11.39</v>
      </c>
      <c r="H62" s="49">
        <f>AVERAGE(D62,E62,F62)</f>
        <v>3.796666667</v>
      </c>
      <c r="I62" s="9"/>
      <c r="J62" s="99">
        <v>2.0</v>
      </c>
      <c r="K62" s="51"/>
      <c r="L62" s="52">
        <f>H62*J62</f>
        <v>7.593333333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7" t="s">
        <v>132</v>
      </c>
      <c r="F63" s="32" t="s">
        <v>248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2.58</v>
      </c>
      <c r="E64" s="43">
        <v>2.48</v>
      </c>
      <c r="F64" s="43">
        <v>2.59</v>
      </c>
      <c r="G64" s="46">
        <f>SUM(D64,E64,F64)</f>
        <v>7.65</v>
      </c>
      <c r="H64" s="49">
        <f>AVERAGE(D64,E64,F64)</f>
        <v>2.55</v>
      </c>
      <c r="I64" s="9"/>
      <c r="J64" s="99">
        <v>2.0</v>
      </c>
      <c r="K64" s="51"/>
      <c r="L64" s="52">
        <f>H64*J64</f>
        <v>5.1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22.30333333</v>
      </c>
      <c r="I65" s="92"/>
      <c r="J65" s="93" t="s">
        <v>9</v>
      </c>
      <c r="K65" s="90"/>
      <c r="L65" s="94">
        <f>SUM(L57:L64)</f>
        <v>113.81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250</v>
      </c>
      <c r="E67" s="57" t="s">
        <v>251</v>
      </c>
      <c r="F67" s="32" t="s">
        <v>137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6.5</v>
      </c>
      <c r="E68" s="43">
        <v>6.6</v>
      </c>
      <c r="F68" s="43">
        <v>5.15</v>
      </c>
      <c r="G68" s="46">
        <f>SUM(D68,E68,F68)</f>
        <v>18.25</v>
      </c>
      <c r="H68" s="49">
        <f>AVERAGE(D68,E68,F68)</f>
        <v>6.083333333</v>
      </c>
      <c r="I68" s="9"/>
      <c r="J68" s="99">
        <v>3.0</v>
      </c>
      <c r="K68" s="51"/>
      <c r="L68" s="52">
        <f>H68*J68</f>
        <v>18.25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7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6.4</v>
      </c>
      <c r="E70" s="43">
        <v>4.49</v>
      </c>
      <c r="F70" s="63"/>
      <c r="G70" s="46">
        <f>SUM(D70,E70,F70)</f>
        <v>10.89</v>
      </c>
      <c r="H70" s="49">
        <f>AVERAGE(D70,E70,F70)</f>
        <v>5.445</v>
      </c>
      <c r="I70" s="9"/>
      <c r="J70" s="99">
        <v>2.0</v>
      </c>
      <c r="K70" s="51"/>
      <c r="L70" s="52">
        <f>H70*J70</f>
        <v>10.89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6" t="s">
        <v>146</v>
      </c>
      <c r="F71" s="32" t="s">
        <v>176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2.59</v>
      </c>
      <c r="E72" s="43">
        <v>2.7</v>
      </c>
      <c r="F72" s="43">
        <v>2.19</v>
      </c>
      <c r="G72" s="46">
        <f>SUM(D72,E72,F72)</f>
        <v>7.48</v>
      </c>
      <c r="H72" s="49">
        <f>AVERAGE(D72,E72,F72)</f>
        <v>2.493333333</v>
      </c>
      <c r="I72" s="9"/>
      <c r="J72" s="99">
        <v>10.0</v>
      </c>
      <c r="K72" s="51"/>
      <c r="L72" s="52">
        <f>H72*J72</f>
        <v>24.93333333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177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17.8</v>
      </c>
      <c r="E74" s="43">
        <v>14.9</v>
      </c>
      <c r="F74" s="63"/>
      <c r="G74" s="46">
        <f>SUM(D74,E74,F74)</f>
        <v>32.7</v>
      </c>
      <c r="H74" s="49">
        <f>AVERAGE(D74,E74,F74)</f>
        <v>16.35</v>
      </c>
      <c r="I74" s="9"/>
      <c r="J74" s="99">
        <v>2.0</v>
      </c>
      <c r="K74" s="51"/>
      <c r="L74" s="52">
        <f>H74*J74</f>
        <v>32.7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7" t="s">
        <v>249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3.98</v>
      </c>
      <c r="E76" s="43">
        <v>5.4</v>
      </c>
      <c r="F76" s="63"/>
      <c r="G76" s="46">
        <f>SUM(D76,E76,F76)</f>
        <v>9.38</v>
      </c>
      <c r="H76" s="49">
        <f>AVERAGE(D76,E76,F76)</f>
        <v>4.69</v>
      </c>
      <c r="I76" s="9"/>
      <c r="J76" s="99">
        <v>1.0</v>
      </c>
      <c r="K76" s="51"/>
      <c r="L76" s="52">
        <f>H76*J76</f>
        <v>4.69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35.06166667</v>
      </c>
      <c r="I77" s="92"/>
      <c r="J77" s="93" t="s">
        <v>9</v>
      </c>
      <c r="K77" s="90"/>
      <c r="L77" s="102">
        <f>SUM(L68:L76)</f>
        <v>91.46333333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414.3883333</v>
      </c>
      <c r="I80" s="9"/>
      <c r="J80" s="9"/>
      <c r="K80" s="107" t="s">
        <v>9</v>
      </c>
      <c r="L80" s="102">
        <f>L55+L65+L77</f>
        <v>855.6390667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228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191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/>
      <c r="E4" s="43"/>
      <c r="F4" s="43"/>
      <c r="G4" s="46">
        <f>SUM(D4,E4,F4)</f>
        <v>0</v>
      </c>
      <c r="H4" s="49" t="str">
        <f>AVERAGE(D4,E4,F4)</f>
        <v>#DIV/0!</v>
      </c>
      <c r="I4" s="36"/>
      <c r="J4" s="50">
        <v>0.6</v>
      </c>
      <c r="K4" s="51" t="s">
        <v>15</v>
      </c>
      <c r="L4" s="52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6" t="s">
        <v>17</v>
      </c>
      <c r="F5" s="32" t="s">
        <v>231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/>
      <c r="E6" s="63"/>
      <c r="F6" s="43"/>
      <c r="G6" s="46">
        <f>SUM(D6,E6,F6)</f>
        <v>0</v>
      </c>
      <c r="H6" s="49" t="str">
        <f>AVERAGE(D6,E6,F6)</f>
        <v>#DIV/0!</v>
      </c>
      <c r="I6" s="36"/>
      <c r="J6" s="50">
        <v>4.0</v>
      </c>
      <c r="K6" s="51"/>
      <c r="L6" s="52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6" t="s">
        <v>25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/>
      <c r="E8" s="63"/>
      <c r="F8" s="63"/>
      <c r="G8" s="46">
        <f>SUM(D8,E8,F8)</f>
        <v>0</v>
      </c>
      <c r="H8" s="49" t="str">
        <f>AVERAGE(D8,E8,F8)</f>
        <v>#DIV/0!</v>
      </c>
      <c r="I8" s="36"/>
      <c r="J8" s="50">
        <v>0.6</v>
      </c>
      <c r="K8" s="51"/>
      <c r="L8" s="52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7" t="s">
        <v>232</v>
      </c>
      <c r="F9" s="33" t="s">
        <v>31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/>
      <c r="E10" s="43"/>
      <c r="F10" s="43"/>
      <c r="G10" s="46">
        <f>SUM(D10,E10,F10)</f>
        <v>0</v>
      </c>
      <c r="H10" s="49" t="str">
        <f>AVERAGE(D10,E10,F10)</f>
        <v>#DIV/0!</v>
      </c>
      <c r="I10" s="36"/>
      <c r="J10" s="50">
        <v>1.2</v>
      </c>
      <c r="K10" s="51"/>
      <c r="L10" s="52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7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/>
      <c r="E12" s="43"/>
      <c r="F12" s="43"/>
      <c r="G12" s="46">
        <f>SUM(D12,E12,F12)</f>
        <v>0</v>
      </c>
      <c r="H12" s="49" t="str">
        <f>AVERAGE(D12,E12,F12)</f>
        <v>#DIV/0!</v>
      </c>
      <c r="I12" s="36"/>
      <c r="J12" s="50">
        <v>0.0</v>
      </c>
      <c r="K12" s="51"/>
      <c r="L12" s="52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7" t="s">
        <v>48</v>
      </c>
      <c r="E13" s="57" t="s">
        <v>47</v>
      </c>
      <c r="F13" s="32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/>
      <c r="E14" s="43"/>
      <c r="F14" s="63"/>
      <c r="G14" s="46">
        <f>SUM(D14,E14,F14)</f>
        <v>0</v>
      </c>
      <c r="H14" s="49" t="str">
        <f>AVERAGE(D14,E14,F14)</f>
        <v>#DIV/0!</v>
      </c>
      <c r="I14" s="36"/>
      <c r="J14" s="50">
        <v>1.0</v>
      </c>
      <c r="K14" s="51"/>
      <c r="L14" s="52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7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/>
      <c r="E16" s="63"/>
      <c r="F16" s="63"/>
      <c r="G16" s="46">
        <f>SUM(D16,E16,F16)</f>
        <v>0</v>
      </c>
      <c r="H16" s="49" t="str">
        <f>AVERAGE(D16,E16,F16)</f>
        <v>#DIV/0!</v>
      </c>
      <c r="I16" s="36"/>
      <c r="J16" s="50">
        <v>6.0</v>
      </c>
      <c r="K16" s="51"/>
      <c r="L16" s="52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/>
      <c r="E18" s="63"/>
      <c r="F18" s="63"/>
      <c r="G18" s="46">
        <f>SUM(D18,E18,F18)</f>
        <v>0</v>
      </c>
      <c r="H18" s="49" t="str">
        <f>AVERAGE(D18,E18,F18)</f>
        <v>#DIV/0!</v>
      </c>
      <c r="I18" s="36"/>
      <c r="J18" s="50">
        <v>0.0</v>
      </c>
      <c r="K18" s="51"/>
      <c r="L18" s="52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/>
      <c r="E20" s="63"/>
      <c r="F20" s="63"/>
      <c r="G20" s="46">
        <f>SUM(D20,E20,F20)</f>
        <v>0</v>
      </c>
      <c r="H20" s="49" t="str">
        <f>AVERAGE(D20,E20,F20)</f>
        <v>#DIV/0!</v>
      </c>
      <c r="I20" s="36"/>
      <c r="J20" s="50">
        <v>9.0</v>
      </c>
      <c r="K20" s="51"/>
      <c r="L20" s="52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/>
      <c r="E22" s="63"/>
      <c r="F22" s="63"/>
      <c r="G22" s="46">
        <f>SUM(D22,E22,F22)</f>
        <v>0</v>
      </c>
      <c r="H22" s="49" t="str">
        <f>AVERAGE(D22,E22,F22)</f>
        <v>#DIV/0!</v>
      </c>
      <c r="I22" s="36"/>
      <c r="J22" s="50">
        <v>0.0</v>
      </c>
      <c r="K22" s="51"/>
      <c r="L22" s="52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/>
      <c r="E24" s="43"/>
      <c r="F24" s="63"/>
      <c r="G24" s="46">
        <f>SUM(D24,E24,F24)</f>
        <v>0</v>
      </c>
      <c r="H24" s="49" t="str">
        <f>AVERAGE(D24,E24,F24)</f>
        <v>#DIV/0!</v>
      </c>
      <c r="I24" s="9"/>
      <c r="J24" s="50">
        <v>0.0</v>
      </c>
      <c r="K24" s="51"/>
      <c r="L24" s="52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7" t="s">
        <v>60</v>
      </c>
      <c r="E25" s="56" t="s">
        <v>61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/>
      <c r="E26" s="43"/>
      <c r="F26" s="43"/>
      <c r="G26" s="46">
        <f>SUM(D26,E26,F26)</f>
        <v>0</v>
      </c>
      <c r="H26" s="49" t="str">
        <f>AVERAGE(D26,E26,F26)</f>
        <v>#DIV/0!</v>
      </c>
      <c r="I26" s="9"/>
      <c r="J26" s="50">
        <v>3.0</v>
      </c>
      <c r="K26" s="51"/>
      <c r="L26" s="52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97" t="s">
        <v>233</v>
      </c>
      <c r="C27" s="55"/>
      <c r="D27" s="57" t="s">
        <v>234</v>
      </c>
      <c r="E27" s="57" t="s">
        <v>101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/>
      <c r="E28" s="43"/>
      <c r="F28" s="43"/>
      <c r="G28" s="46">
        <f>SUM(D28,E28,F28)</f>
        <v>0</v>
      </c>
      <c r="H28" s="49" t="str">
        <f>AVERAGE(D28,E28,F28)</f>
        <v>#DIV/0!</v>
      </c>
      <c r="I28" s="9"/>
      <c r="J28" s="50">
        <v>0.0</v>
      </c>
      <c r="K28" s="51"/>
      <c r="L28" s="52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7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/>
      <c r="E30" s="63"/>
      <c r="F30" s="63"/>
      <c r="G30" s="46">
        <f>SUM(D30,E30,F30)</f>
        <v>0</v>
      </c>
      <c r="H30" s="49" t="str">
        <f>AVERAGE(D30,E30,F30)</f>
        <v>#DIV/0!</v>
      </c>
      <c r="I30" s="9"/>
      <c r="J30" s="50">
        <v>6.0</v>
      </c>
      <c r="K30" s="51"/>
      <c r="L30" s="52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/>
      <c r="E32" s="43"/>
      <c r="F32" s="63"/>
      <c r="G32" s="46">
        <f>SUM(D32,E32,F32)</f>
        <v>0</v>
      </c>
      <c r="H32" s="49" t="str">
        <f>AVERAGE(D32,E32,F32)</f>
        <v>#DIV/0!</v>
      </c>
      <c r="I32" s="9"/>
      <c r="J32" s="50">
        <v>7.5</v>
      </c>
      <c r="K32" s="51"/>
      <c r="L32" s="52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6" t="s">
        <v>87</v>
      </c>
      <c r="F33" s="32" t="s">
        <v>235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/>
      <c r="E34" s="63"/>
      <c r="F34" s="43"/>
      <c r="G34" s="46">
        <f>SUM(D34,E34,F34)</f>
        <v>0</v>
      </c>
      <c r="H34" s="49" t="str">
        <f>AVERAGE(D34,E34,F34)</f>
        <v>#DIV/0!</v>
      </c>
      <c r="I34" s="9"/>
      <c r="J34" s="50">
        <v>0.83</v>
      </c>
      <c r="K34" s="51"/>
      <c r="L34" s="52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2" t="s">
        <v>93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/>
      <c r="E36" s="43"/>
      <c r="F36" s="43"/>
      <c r="G36" s="46">
        <f>SUM(D36,E36,F36)</f>
        <v>0</v>
      </c>
      <c r="H36" s="49" t="str">
        <f>AVERAGE(D36,E36,F36)</f>
        <v>#DIV/0!</v>
      </c>
      <c r="I36" s="9"/>
      <c r="J36" s="50">
        <v>7.5</v>
      </c>
      <c r="K36" s="51"/>
      <c r="L36" s="52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84</v>
      </c>
      <c r="F37" s="32" t="s">
        <v>125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/>
      <c r="E38" s="43"/>
      <c r="F38" s="43"/>
      <c r="G38" s="46">
        <f>SUM(D38,E38,F38)</f>
        <v>0</v>
      </c>
      <c r="H38" s="49" t="str">
        <f>AVERAGE(D38,E38,F38)</f>
        <v>#DIV/0!</v>
      </c>
      <c r="I38" s="9"/>
      <c r="J38" s="50">
        <v>0.0</v>
      </c>
      <c r="K38" s="51"/>
      <c r="L38" s="52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6" t="s">
        <v>86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/>
      <c r="E40" s="43"/>
      <c r="F40" s="43"/>
      <c r="G40" s="46">
        <f>SUM(D40,E40,F40)</f>
        <v>0</v>
      </c>
      <c r="H40" s="49" t="str">
        <f>AVERAGE(D40,E40,F40)</f>
        <v>#DIV/0!</v>
      </c>
      <c r="I40" s="9"/>
      <c r="J40" s="50">
        <v>0.0</v>
      </c>
      <c r="K40" s="51"/>
      <c r="L40" s="52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186</v>
      </c>
      <c r="E41" s="56" t="s">
        <v>90</v>
      </c>
      <c r="F41" s="32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/>
      <c r="E42" s="43"/>
      <c r="F42" s="43"/>
      <c r="G42" s="46">
        <f>SUM(D42,E42,F42)</f>
        <v>0</v>
      </c>
      <c r="H42" s="49" t="str">
        <f>AVERAGE(D42,E42,F42)</f>
        <v>#DIV/0!</v>
      </c>
      <c r="I42" s="9"/>
      <c r="J42" s="50">
        <v>0.0</v>
      </c>
      <c r="K42" s="51"/>
      <c r="L42" s="52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2" t="s">
        <v>236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/>
      <c r="E44" s="63"/>
      <c r="F44" s="43"/>
      <c r="G44" s="46">
        <f>SUM(D44,E44,F44)</f>
        <v>0</v>
      </c>
      <c r="H44" s="49" t="str">
        <f>AVERAGE(D44,E44,F44)</f>
        <v>#DIV/0!</v>
      </c>
      <c r="I44" s="9"/>
      <c r="J44" s="50">
        <v>3.0</v>
      </c>
      <c r="K44" s="51"/>
      <c r="L44" s="52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/>
      <c r="E46" s="43"/>
      <c r="F46" s="63"/>
      <c r="G46" s="46">
        <f>SUM(D46,E46,F46)</f>
        <v>0</v>
      </c>
      <c r="H46" s="49" t="str">
        <f>AVERAGE(D46,E46,F46)</f>
        <v>#DIV/0!</v>
      </c>
      <c r="I46" s="9"/>
      <c r="J46" s="50">
        <v>3.0</v>
      </c>
      <c r="K46" s="51"/>
      <c r="L46" s="52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6" t="s">
        <v>105</v>
      </c>
      <c r="E47" s="56" t="s">
        <v>106</v>
      </c>
      <c r="F47" s="32" t="s">
        <v>237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/>
      <c r="E48" s="63"/>
      <c r="F48" s="43"/>
      <c r="G48" s="46">
        <f>SUM(D48,E48,F48)</f>
        <v>0</v>
      </c>
      <c r="H48" s="49" t="str">
        <f>AVERAGE(D48,E48,F48)</f>
        <v>#DIV/0!</v>
      </c>
      <c r="I48" s="9"/>
      <c r="J48" s="50">
        <v>0.0</v>
      </c>
      <c r="K48" s="51"/>
      <c r="L48" s="52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6" t="s">
        <v>105</v>
      </c>
      <c r="E49" s="56" t="s">
        <v>106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/>
      <c r="E50" s="63"/>
      <c r="F50" s="63"/>
      <c r="G50" s="46">
        <f>SUM(D50,E50,F50)</f>
        <v>0</v>
      </c>
      <c r="H50" s="49" t="str">
        <f>AVERAGE(D50,E50,F50)</f>
        <v>#DIV/0!</v>
      </c>
      <c r="I50" s="9"/>
      <c r="J50" s="50">
        <v>0.0</v>
      </c>
      <c r="K50" s="51"/>
      <c r="L50" s="52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165</v>
      </c>
      <c r="E51" s="56" t="s">
        <v>106</v>
      </c>
      <c r="F51" s="33" t="s">
        <v>111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/>
      <c r="E52" s="63"/>
      <c r="F52" s="43"/>
      <c r="G52" s="46">
        <f>SUM(D52,E52,F52)</f>
        <v>0</v>
      </c>
      <c r="H52" s="49" t="str">
        <f>AVERAGE(D52,E52,F52)</f>
        <v>#DIV/0!</v>
      </c>
      <c r="I52" s="9"/>
      <c r="J52" s="50">
        <v>0.0</v>
      </c>
      <c r="K52" s="51"/>
      <c r="L52" s="52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6" t="s">
        <v>239</v>
      </c>
      <c r="E53" s="57" t="s">
        <v>212</v>
      </c>
      <c r="F53" s="33" t="s">
        <v>114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/>
      <c r="E54" s="43"/>
      <c r="F54" s="63"/>
      <c r="G54" s="46">
        <f>SUM(D54,E54,F54)</f>
        <v>0</v>
      </c>
      <c r="H54" s="49" t="str">
        <f>AVERAGE(D54,E54,F54)</f>
        <v>#DIV/0!</v>
      </c>
      <c r="I54" s="9"/>
      <c r="J54" s="86">
        <v>0.0</v>
      </c>
      <c r="K54" s="87"/>
      <c r="L54" s="52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7" t="s">
        <v>138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/>
      <c r="E58" s="43"/>
      <c r="F58" s="43"/>
      <c r="G58" s="46">
        <f>SUM(D58,E58,F58)</f>
        <v>0</v>
      </c>
      <c r="H58" s="49" t="str">
        <f>AVERAGE(D58,E58,F58)</f>
        <v>#DIV/0!</v>
      </c>
      <c r="I58" s="9"/>
      <c r="J58" s="99">
        <v>4.0</v>
      </c>
      <c r="K58" s="51"/>
      <c r="L58" s="52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7" t="s">
        <v>123</v>
      </c>
      <c r="E59" s="56" t="s">
        <v>124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/>
      <c r="E60" s="43"/>
      <c r="F60" s="63"/>
      <c r="G60" s="46">
        <f>SUM(D60,E60,F60)</f>
        <v>0</v>
      </c>
      <c r="H60" s="49" t="str">
        <f>AVERAGE(D60,E60,F60)</f>
        <v>#DIV/0!</v>
      </c>
      <c r="I60" s="9"/>
      <c r="J60" s="99">
        <v>15.0</v>
      </c>
      <c r="K60" s="51"/>
      <c r="L60" s="52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138</v>
      </c>
      <c r="F61" s="32" t="s">
        <v>35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/>
      <c r="E62" s="43"/>
      <c r="F62" s="43"/>
      <c r="G62" s="46">
        <f>SUM(D62,E62,F62)</f>
        <v>0</v>
      </c>
      <c r="H62" s="49" t="str">
        <f>AVERAGE(D62,E62,F62)</f>
        <v>#DIV/0!</v>
      </c>
      <c r="I62" s="9"/>
      <c r="J62" s="99">
        <v>2.0</v>
      </c>
      <c r="K62" s="51"/>
      <c r="L62" s="52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6" t="s">
        <v>124</v>
      </c>
      <c r="F63" s="32" t="s">
        <v>242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/>
      <c r="E64" s="43"/>
      <c r="F64" s="43"/>
      <c r="G64" s="46">
        <f>SUM(D64,E64,F64)</f>
        <v>0</v>
      </c>
      <c r="H64" s="49" t="str">
        <f>AVERAGE(D64,E64,F64)</f>
        <v>#DIV/0!</v>
      </c>
      <c r="I64" s="9"/>
      <c r="J64" s="99">
        <v>2.0</v>
      </c>
      <c r="K64" s="51"/>
      <c r="L64" s="52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 t="str">
        <f>SUM(H57:H64)</f>
        <v>#DIV/0!</v>
      </c>
      <c r="I65" s="92"/>
      <c r="J65" s="93" t="s">
        <v>9</v>
      </c>
      <c r="K65" s="90"/>
      <c r="L65" s="94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6" t="s">
        <v>157</v>
      </c>
      <c r="E67" s="57" t="s">
        <v>138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/>
      <c r="E68" s="43"/>
      <c r="F68" s="43"/>
      <c r="G68" s="46">
        <f>SUM(D68,E68,F68)</f>
        <v>0</v>
      </c>
      <c r="H68" s="49" t="str">
        <f>AVERAGE(D68,E68,F68)</f>
        <v>#DIV/0!</v>
      </c>
      <c r="I68" s="9"/>
      <c r="J68" s="99">
        <v>3.0</v>
      </c>
      <c r="K68" s="51"/>
      <c r="L68" s="52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2" t="s">
        <v>243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/>
      <c r="E70" s="43"/>
      <c r="F70" s="43"/>
      <c r="G70" s="46">
        <f>SUM(D70,E70,F70)</f>
        <v>0</v>
      </c>
      <c r="H70" s="49" t="str">
        <f>AVERAGE(D70,E70,F70)</f>
        <v>#DIV/0!</v>
      </c>
      <c r="I70" s="9"/>
      <c r="J70" s="99">
        <v>2.0</v>
      </c>
      <c r="K70" s="51"/>
      <c r="L70" s="52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97" t="s">
        <v>244</v>
      </c>
      <c r="C71" s="55"/>
      <c r="D71" s="56" t="s">
        <v>145</v>
      </c>
      <c r="E71" s="57" t="s">
        <v>227</v>
      </c>
      <c r="F71" s="33" t="s">
        <v>46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/>
      <c r="E72" s="43"/>
      <c r="F72" s="63"/>
      <c r="G72" s="46">
        <f>SUM(D72,E72,F72)</f>
        <v>0</v>
      </c>
      <c r="H72" s="49" t="str">
        <f>AVERAGE(D72,E72,F72)</f>
        <v>#DIV/0!</v>
      </c>
      <c r="I72" s="9"/>
      <c r="J72" s="99">
        <v>10.0</v>
      </c>
      <c r="K72" s="51"/>
      <c r="L72" s="52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151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/>
      <c r="E74" s="43"/>
      <c r="F74" s="63"/>
      <c r="G74" s="46">
        <f>SUM(D74,E74,F74)</f>
        <v>0</v>
      </c>
      <c r="H74" s="49" t="str">
        <f>AVERAGE(D74,E74,F74)</f>
        <v>#DIV/0!</v>
      </c>
      <c r="I74" s="9"/>
      <c r="J74" s="99">
        <v>2.0</v>
      </c>
      <c r="K74" s="51"/>
      <c r="L74" s="52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7" t="s">
        <v>153</v>
      </c>
      <c r="E75" s="57" t="s">
        <v>249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/>
      <c r="E76" s="43"/>
      <c r="F76" s="63"/>
      <c r="G76" s="46">
        <f>SUM(D76,E76,F76)</f>
        <v>0</v>
      </c>
      <c r="H76" s="49" t="str">
        <f>AVERAGE(D76,E76,F76)</f>
        <v>#DIV/0!</v>
      </c>
      <c r="I76" s="9"/>
      <c r="J76" s="99">
        <v>1.0</v>
      </c>
      <c r="K76" s="51"/>
      <c r="L76" s="52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 t="str">
        <f>SUM(H68:H76)</f>
        <v>#DIV/0!</v>
      </c>
      <c r="I77" s="92"/>
      <c r="J77" s="93" t="s">
        <v>9</v>
      </c>
      <c r="K77" s="90"/>
      <c r="L77" s="102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9"/>
      <c r="J80" s="9"/>
      <c r="K80" s="107" t="s">
        <v>9</v>
      </c>
      <c r="L80" s="102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252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191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19.49</v>
      </c>
      <c r="E4" s="43">
        <v>17.89</v>
      </c>
      <c r="F4" s="43">
        <v>18.69</v>
      </c>
      <c r="G4" s="46">
        <f>SUM(D4,E4,F4)</f>
        <v>56.07</v>
      </c>
      <c r="H4" s="49">
        <f>AVERAGE(D4,E4,F4)</f>
        <v>18.69</v>
      </c>
      <c r="I4" s="36"/>
      <c r="J4" s="50">
        <v>0.6</v>
      </c>
      <c r="K4" s="51" t="s">
        <v>15</v>
      </c>
      <c r="L4" s="52">
        <f>H4*J4</f>
        <v>11.214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7" t="s">
        <v>253</v>
      </c>
      <c r="F5" s="33" t="s">
        <v>18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9.79</v>
      </c>
      <c r="E6" s="43">
        <v>9.49</v>
      </c>
      <c r="F6" s="43">
        <v>9.64</v>
      </c>
      <c r="G6" s="46">
        <f>SUM(D6,E6,F6)</f>
        <v>28.92</v>
      </c>
      <c r="H6" s="49">
        <f>AVERAGE(D6,E6,F6)</f>
        <v>9.64</v>
      </c>
      <c r="I6" s="36"/>
      <c r="J6" s="50">
        <v>4.0</v>
      </c>
      <c r="K6" s="51"/>
      <c r="L6" s="52">
        <f>H6*J6</f>
        <v>38.56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6" t="s">
        <v>25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12.95</v>
      </c>
      <c r="E8" s="43">
        <v>12.95</v>
      </c>
      <c r="F8" s="43">
        <v>12.95</v>
      </c>
      <c r="G8" s="46">
        <f>SUM(D8,E8,F8)</f>
        <v>38.85</v>
      </c>
      <c r="H8" s="49">
        <f>AVERAGE(D8,E8,F8)</f>
        <v>12.95</v>
      </c>
      <c r="I8" s="36"/>
      <c r="J8" s="50">
        <v>0.6</v>
      </c>
      <c r="K8" s="51"/>
      <c r="L8" s="52">
        <f>H8*J8</f>
        <v>7.77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7" t="s">
        <v>30</v>
      </c>
      <c r="F9" s="33" t="s">
        <v>31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28.8</v>
      </c>
      <c r="E10" s="43">
        <v>25.89</v>
      </c>
      <c r="F10" s="43">
        <v>27.35</v>
      </c>
      <c r="G10" s="46">
        <f>SUM(D10,E10,F10)</f>
        <v>82.04</v>
      </c>
      <c r="H10" s="49">
        <f>AVERAGE(D10,E10,F10)</f>
        <v>27.34666667</v>
      </c>
      <c r="I10" s="36"/>
      <c r="J10" s="50">
        <v>1.2</v>
      </c>
      <c r="K10" s="51"/>
      <c r="L10" s="52">
        <f>H10*J10</f>
        <v>32.816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6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6.19</v>
      </c>
      <c r="E12" s="43">
        <v>6.39</v>
      </c>
      <c r="F12" s="43">
        <v>5.99</v>
      </c>
      <c r="G12" s="46">
        <f>SUM(D12,E12,F12)</f>
        <v>18.57</v>
      </c>
      <c r="H12" s="49">
        <f>AVERAGE(D12,E12,F12)</f>
        <v>6.19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6" t="s">
        <v>39</v>
      </c>
      <c r="E13" s="57" t="s">
        <v>254</v>
      </c>
      <c r="F13" s="32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5.89</v>
      </c>
      <c r="E14" s="43">
        <v>5.29</v>
      </c>
      <c r="F14" s="43">
        <v>9.99</v>
      </c>
      <c r="G14" s="46">
        <f>SUM(D14,E14,F14)</f>
        <v>21.17</v>
      </c>
      <c r="H14" s="49">
        <f>AVERAGE(D14,E14,F14)</f>
        <v>7.056666667</v>
      </c>
      <c r="I14" s="36"/>
      <c r="J14" s="50">
        <v>1.0</v>
      </c>
      <c r="K14" s="51"/>
      <c r="L14" s="52">
        <f>H14*J14</f>
        <v>7.056666667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9.99</v>
      </c>
      <c r="E16" s="63"/>
      <c r="F16" s="63"/>
      <c r="G16" s="46">
        <f>SUM(D16,E16,F16)</f>
        <v>9.99</v>
      </c>
      <c r="H16" s="49">
        <f>AVERAGE(D16,E16,F16)</f>
        <v>9.99</v>
      </c>
      <c r="I16" s="36"/>
      <c r="J16" s="50">
        <v>6.0</v>
      </c>
      <c r="K16" s="51"/>
      <c r="L16" s="52">
        <f>H16*J16</f>
        <v>59.94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5.49</v>
      </c>
      <c r="E18" s="63"/>
      <c r="F18" s="63"/>
      <c r="G18" s="46">
        <f>SUM(D18,E18,F18)</f>
        <v>5.49</v>
      </c>
      <c r="H18" s="49">
        <f>AVERAGE(D18,E18,F18)</f>
        <v>5.49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11.99</v>
      </c>
      <c r="E20" s="63"/>
      <c r="F20" s="63"/>
      <c r="G20" s="46">
        <f>SUM(D20,E20,F20)</f>
        <v>11.99</v>
      </c>
      <c r="H20" s="49">
        <f>AVERAGE(D20,E20,F20)</f>
        <v>11.99</v>
      </c>
      <c r="I20" s="36"/>
      <c r="J20" s="50">
        <v>9.0</v>
      </c>
      <c r="K20" s="51"/>
      <c r="L20" s="52">
        <f>H20*J20</f>
        <v>107.91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19.29</v>
      </c>
      <c r="E22" s="63"/>
      <c r="F22" s="63"/>
      <c r="G22" s="46">
        <f>SUM(D22,E22,F22)</f>
        <v>19.29</v>
      </c>
      <c r="H22" s="49">
        <f>AVERAGE(D22,E22,F22)</f>
        <v>19.29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10.39</v>
      </c>
      <c r="E24" s="43">
        <v>10.39</v>
      </c>
      <c r="F24" s="63"/>
      <c r="G24" s="46">
        <f>SUM(D24,E24,F24)</f>
        <v>20.78</v>
      </c>
      <c r="H24" s="49">
        <f>AVERAGE(D24,E24,F24)</f>
        <v>10.39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7" t="s">
        <v>92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5.99</v>
      </c>
      <c r="E26" s="43">
        <v>3.99</v>
      </c>
      <c r="F26" s="43">
        <v>5.19</v>
      </c>
      <c r="G26" s="46">
        <f>SUM(D26,E26,F26)</f>
        <v>15.17</v>
      </c>
      <c r="H26" s="49">
        <f>AVERAGE(D26,E26,F26)</f>
        <v>5.056666667</v>
      </c>
      <c r="I26" s="9"/>
      <c r="J26" s="50">
        <v>3.0</v>
      </c>
      <c r="K26" s="51"/>
      <c r="L26" s="52">
        <f>H26*J26</f>
        <v>15.17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97" t="s">
        <v>213</v>
      </c>
      <c r="C27" s="55"/>
      <c r="D27" s="57" t="s">
        <v>234</v>
      </c>
      <c r="E27" s="57" t="s">
        <v>101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2.89</v>
      </c>
      <c r="E28" s="43">
        <v>6.99</v>
      </c>
      <c r="F28" s="43">
        <v>3.19</v>
      </c>
      <c r="G28" s="46">
        <f>SUM(D28,E28,F28)</f>
        <v>13.07</v>
      </c>
      <c r="H28" s="49">
        <f>AVERAGE(D28,E28,F28)</f>
        <v>4.356666667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16.99</v>
      </c>
      <c r="E30" s="63"/>
      <c r="F30" s="63"/>
      <c r="G30" s="46">
        <f>SUM(D30,E30,F30)</f>
        <v>16.99</v>
      </c>
      <c r="H30" s="49">
        <f>AVERAGE(D30,E30,F30)</f>
        <v>16.99</v>
      </c>
      <c r="I30" s="9"/>
      <c r="J30" s="50">
        <v>6.0</v>
      </c>
      <c r="K30" s="51"/>
      <c r="L30" s="52">
        <f>H30*J30</f>
        <v>101.94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8.78</v>
      </c>
      <c r="E32" s="43">
        <v>3.99</v>
      </c>
      <c r="F32" s="63"/>
      <c r="G32" s="46">
        <f>SUM(D32,E32,F32)</f>
        <v>12.77</v>
      </c>
      <c r="H32" s="49">
        <f>AVERAGE(D32,E32,F32)</f>
        <v>6.385</v>
      </c>
      <c r="I32" s="9"/>
      <c r="J32" s="50">
        <v>7.5</v>
      </c>
      <c r="K32" s="51"/>
      <c r="L32" s="52">
        <f>H32*J32</f>
        <v>47.8875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7" t="s">
        <v>77</v>
      </c>
      <c r="F33" s="32" t="s">
        <v>255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6.99</v>
      </c>
      <c r="E34" s="43">
        <v>6.99</v>
      </c>
      <c r="F34" s="43">
        <v>6.99</v>
      </c>
      <c r="G34" s="46">
        <f>SUM(D34,E34,F34)</f>
        <v>20.97</v>
      </c>
      <c r="H34" s="49">
        <f>AVERAGE(D34,E34,F34)</f>
        <v>6.99</v>
      </c>
      <c r="I34" s="9"/>
      <c r="J34" s="50">
        <v>0.83</v>
      </c>
      <c r="K34" s="51"/>
      <c r="L34" s="52">
        <f>H34*J34</f>
        <v>5.8017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2" t="s">
        <v>125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6.39</v>
      </c>
      <c r="E36" s="43">
        <v>5.79</v>
      </c>
      <c r="F36" s="43">
        <v>6.09</v>
      </c>
      <c r="G36" s="46">
        <f>SUM(D36,E36,F36)</f>
        <v>18.27</v>
      </c>
      <c r="H36" s="49">
        <f>AVERAGE(D36,E36,F36)</f>
        <v>6.09</v>
      </c>
      <c r="I36" s="9"/>
      <c r="J36" s="50">
        <v>7.5</v>
      </c>
      <c r="K36" s="51"/>
      <c r="L36" s="52">
        <f>H36*J36</f>
        <v>45.675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84</v>
      </c>
      <c r="F37" s="33" t="s">
        <v>82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17.69</v>
      </c>
      <c r="E38" s="43">
        <v>17.75</v>
      </c>
      <c r="F38" s="43">
        <v>17.72</v>
      </c>
      <c r="G38" s="46">
        <f>SUM(D38,E38,F38)</f>
        <v>53.16</v>
      </c>
      <c r="H38" s="49">
        <f>AVERAGE(D38,E38,F38)</f>
        <v>17.72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7" t="s">
        <v>86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4.29</v>
      </c>
      <c r="E40" s="43">
        <v>4.19</v>
      </c>
      <c r="F40" s="43">
        <v>4.59</v>
      </c>
      <c r="G40" s="46">
        <f>SUM(D40,E40,F40)</f>
        <v>13.07</v>
      </c>
      <c r="H40" s="49">
        <f>AVERAGE(D40,E40,F40)</f>
        <v>4.356666667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186</v>
      </c>
      <c r="E41" s="56" t="s">
        <v>90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>
        <v>3.99</v>
      </c>
      <c r="E42" s="43">
        <v>3.42</v>
      </c>
      <c r="F42" s="43">
        <v>2.85</v>
      </c>
      <c r="G42" s="46">
        <f>SUM(D42,E42,F42)</f>
        <v>10.26</v>
      </c>
      <c r="H42" s="49">
        <f>AVERAGE(D42,E42,F42)</f>
        <v>3.42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7" t="s">
        <v>256</v>
      </c>
      <c r="E43" s="57" t="s">
        <v>236</v>
      </c>
      <c r="F43" s="33" t="s">
        <v>97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53.99</v>
      </c>
      <c r="E44" s="43">
        <v>43.98</v>
      </c>
      <c r="F44" s="43">
        <v>47.99</v>
      </c>
      <c r="G44" s="46">
        <f>SUM(D44,E44,F44)</f>
        <v>145.96</v>
      </c>
      <c r="H44" s="49">
        <f>AVERAGE(D44,E44,F44)</f>
        <v>48.65333333</v>
      </c>
      <c r="I44" s="9"/>
      <c r="J44" s="50">
        <v>3.0</v>
      </c>
      <c r="K44" s="51"/>
      <c r="L44" s="52">
        <f>H44*J44</f>
        <v>145.96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7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35.99</v>
      </c>
      <c r="E46" s="43">
        <v>24.99</v>
      </c>
      <c r="F46" s="43">
        <v>46.99</v>
      </c>
      <c r="G46" s="46">
        <f>SUM(D46,E46,F46)</f>
        <v>107.97</v>
      </c>
      <c r="H46" s="49">
        <f>AVERAGE(D46,E46,F46)</f>
        <v>35.99</v>
      </c>
      <c r="I46" s="9"/>
      <c r="J46" s="50">
        <v>3.0</v>
      </c>
      <c r="K46" s="51"/>
      <c r="L46" s="52">
        <f>H46*J46</f>
        <v>107.97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6" t="s">
        <v>105</v>
      </c>
      <c r="E47" s="56" t="s">
        <v>106</v>
      </c>
      <c r="F47" s="32" t="s">
        <v>257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10.49</v>
      </c>
      <c r="E48" s="43">
        <v>14.99</v>
      </c>
      <c r="F48" s="43">
        <v>12.74</v>
      </c>
      <c r="G48" s="46">
        <f>SUM(D48,E48,F48)</f>
        <v>38.22</v>
      </c>
      <c r="H48" s="49">
        <f>AVERAGE(D48,E48,F48)</f>
        <v>12.74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6" t="s">
        <v>105</v>
      </c>
      <c r="E49" s="56" t="s">
        <v>106</v>
      </c>
      <c r="F49" s="32" t="s">
        <v>165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9.99</v>
      </c>
      <c r="E50" s="43">
        <v>11.95</v>
      </c>
      <c r="F50" s="43">
        <v>11.59</v>
      </c>
      <c r="G50" s="46">
        <f>SUM(D50,E50,F50)</f>
        <v>33.53</v>
      </c>
      <c r="H50" s="49">
        <f>AVERAGE(D50,E50,F50)</f>
        <v>11.17666667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6" t="s">
        <v>105</v>
      </c>
      <c r="E51" s="57" t="s">
        <v>258</v>
      </c>
      <c r="F51" s="32" t="s">
        <v>259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23.99</v>
      </c>
      <c r="E52" s="43">
        <v>17.65</v>
      </c>
      <c r="F52" s="43">
        <v>24.49</v>
      </c>
      <c r="G52" s="46">
        <f>SUM(D52,E52,F52)</f>
        <v>66.13</v>
      </c>
      <c r="H52" s="49">
        <f>AVERAGE(D52,E52,F52)</f>
        <v>22.04333333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6" t="s">
        <v>239</v>
      </c>
      <c r="E53" s="57" t="s">
        <v>212</v>
      </c>
      <c r="F53" s="33" t="s">
        <v>114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76.99</v>
      </c>
      <c r="E54" s="43">
        <v>49.99</v>
      </c>
      <c r="F54" s="43">
        <v>63.49</v>
      </c>
      <c r="G54" s="46">
        <f>SUM(D54,E54,F54)</f>
        <v>190.47</v>
      </c>
      <c r="H54" s="49">
        <f>AVERAGE(D54,E54,F54)</f>
        <v>63.49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>
        <f>SUM(H4:H54)</f>
        <v>404.4816667</v>
      </c>
      <c r="I55" s="92"/>
      <c r="J55" s="93" t="s">
        <v>9</v>
      </c>
      <c r="K55" s="90"/>
      <c r="L55" s="94">
        <f>SUM(L4:L54)</f>
        <v>735.6708667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260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12.69</v>
      </c>
      <c r="E58" s="43">
        <v>14.49</v>
      </c>
      <c r="F58" s="43">
        <v>16.89</v>
      </c>
      <c r="G58" s="46">
        <f>SUM(D58,E58,F58)</f>
        <v>44.07</v>
      </c>
      <c r="H58" s="49">
        <f>AVERAGE(D58,E58,F58)</f>
        <v>14.69</v>
      </c>
      <c r="I58" s="9"/>
      <c r="J58" s="99">
        <v>4.0</v>
      </c>
      <c r="K58" s="51"/>
      <c r="L58" s="52">
        <f>H58*J58</f>
        <v>58.76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6" t="s">
        <v>123</v>
      </c>
      <c r="E59" s="56" t="s">
        <v>124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3.39</v>
      </c>
      <c r="E60" s="43">
        <v>3.29</v>
      </c>
      <c r="F60" s="63"/>
      <c r="G60" s="46">
        <f>SUM(D60,E60,F60)</f>
        <v>6.68</v>
      </c>
      <c r="H60" s="49">
        <f>AVERAGE(D60,E60,F60)</f>
        <v>3.34</v>
      </c>
      <c r="I60" s="9"/>
      <c r="J60" s="99">
        <v>15.0</v>
      </c>
      <c r="K60" s="51"/>
      <c r="L60" s="52">
        <f>H60*J60</f>
        <v>50.1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246</v>
      </c>
      <c r="F61" s="32" t="s">
        <v>138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3.29</v>
      </c>
      <c r="E62" s="43">
        <v>3.29</v>
      </c>
      <c r="F62" s="43">
        <v>3.29</v>
      </c>
      <c r="G62" s="46">
        <f>SUM(D62,E62,F62)</f>
        <v>9.87</v>
      </c>
      <c r="H62" s="49">
        <f>AVERAGE(D62,E62,F62)</f>
        <v>3.29</v>
      </c>
      <c r="I62" s="9"/>
      <c r="J62" s="99">
        <v>2.0</v>
      </c>
      <c r="K62" s="51"/>
      <c r="L62" s="52">
        <f>H62*J62</f>
        <v>6.58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7" t="s">
        <v>196</v>
      </c>
      <c r="F63" s="32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2.79</v>
      </c>
      <c r="E64" s="43">
        <v>2.35</v>
      </c>
      <c r="F64" s="43">
        <v>2.57</v>
      </c>
      <c r="G64" s="46">
        <f>SUM(D64,E64,F64)</f>
        <v>7.71</v>
      </c>
      <c r="H64" s="49">
        <f>AVERAGE(D64,E64,F64)</f>
        <v>2.57</v>
      </c>
      <c r="I64" s="9"/>
      <c r="J64" s="99">
        <v>2.0</v>
      </c>
      <c r="K64" s="51"/>
      <c r="L64" s="52">
        <f>H64*J64</f>
        <v>5.14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88" t="s">
        <v>115</v>
      </c>
      <c r="B65" s="89"/>
      <c r="C65" s="89"/>
      <c r="D65" s="89"/>
      <c r="E65" s="89"/>
      <c r="F65" s="89"/>
      <c r="G65" s="90"/>
      <c r="H65" s="91">
        <f>SUM(H57:H64)</f>
        <v>23.89</v>
      </c>
      <c r="I65" s="92"/>
      <c r="J65" s="93" t="s">
        <v>9</v>
      </c>
      <c r="K65" s="90"/>
      <c r="L65" s="94">
        <f>SUM(L57:L64)</f>
        <v>120.58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6" t="s">
        <v>157</v>
      </c>
      <c r="E67" s="57" t="s">
        <v>261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4.49</v>
      </c>
      <c r="E68" s="43">
        <v>7.49</v>
      </c>
      <c r="F68" s="43">
        <v>5.99</v>
      </c>
      <c r="G68" s="46">
        <f>SUM(D68,E68,F68)</f>
        <v>17.97</v>
      </c>
      <c r="H68" s="49">
        <f>AVERAGE(D68,E68,F68)</f>
        <v>5.99</v>
      </c>
      <c r="I68" s="9"/>
      <c r="J68" s="99">
        <v>3.0</v>
      </c>
      <c r="K68" s="51"/>
      <c r="L68" s="52">
        <f>H68*J68</f>
        <v>17.97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6.99</v>
      </c>
      <c r="E70" s="43">
        <v>7.49</v>
      </c>
      <c r="F70" s="63"/>
      <c r="G70" s="46">
        <f>SUM(D70,E70,F70)</f>
        <v>14.48</v>
      </c>
      <c r="H70" s="49">
        <f>AVERAGE(D70,E70,F70)</f>
        <v>7.24</v>
      </c>
      <c r="I70" s="9"/>
      <c r="J70" s="99">
        <v>2.0</v>
      </c>
      <c r="K70" s="51"/>
      <c r="L70" s="52">
        <f>H70*J70</f>
        <v>14.48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6" t="s">
        <v>146</v>
      </c>
      <c r="F71" s="32" t="s">
        <v>227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2.75</v>
      </c>
      <c r="E72" s="43">
        <v>2.69</v>
      </c>
      <c r="F72" s="43">
        <v>1.89</v>
      </c>
      <c r="G72" s="46">
        <f>SUM(D72,E72,F72)</f>
        <v>7.33</v>
      </c>
      <c r="H72" s="49">
        <f>AVERAGE(D72,E72,F72)</f>
        <v>2.443333333</v>
      </c>
      <c r="I72" s="9"/>
      <c r="J72" s="99">
        <v>10.0</v>
      </c>
      <c r="K72" s="51"/>
      <c r="L72" s="52">
        <f>H72*J72</f>
        <v>24.43333333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177</v>
      </c>
      <c r="F73" s="32" t="s">
        <v>229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16.49</v>
      </c>
      <c r="E74" s="43">
        <v>15.49</v>
      </c>
      <c r="F74" s="43">
        <v>10.49</v>
      </c>
      <c r="G74" s="46">
        <f>SUM(D74,E74,F74)</f>
        <v>42.47</v>
      </c>
      <c r="H74" s="49">
        <f>AVERAGE(D74,E74,F74)</f>
        <v>14.15666667</v>
      </c>
      <c r="I74" s="9"/>
      <c r="J74" s="99">
        <v>2.0</v>
      </c>
      <c r="K74" s="51"/>
      <c r="L74" s="52">
        <f>H74*J74</f>
        <v>28.31333333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7" t="s">
        <v>154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4.29</v>
      </c>
      <c r="E76" s="43">
        <v>6.49</v>
      </c>
      <c r="F76" s="63"/>
      <c r="G76" s="46">
        <f>SUM(D76,E76,F76)</f>
        <v>10.78</v>
      </c>
      <c r="H76" s="49">
        <f>AVERAGE(D76,E76,F76)</f>
        <v>5.39</v>
      </c>
      <c r="I76" s="9"/>
      <c r="J76" s="99">
        <v>1.0</v>
      </c>
      <c r="K76" s="51"/>
      <c r="L76" s="52">
        <f>H76*J76</f>
        <v>5.39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35.22</v>
      </c>
      <c r="I77" s="92"/>
      <c r="J77" s="93" t="s">
        <v>9</v>
      </c>
      <c r="K77" s="90"/>
      <c r="L77" s="102">
        <f>SUM(L68:L76)</f>
        <v>90.58666667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463.5916667</v>
      </c>
      <c r="I80" s="9"/>
      <c r="J80" s="9"/>
      <c r="K80" s="107" t="s">
        <v>9</v>
      </c>
      <c r="L80" s="102">
        <f>L55+L65+L77</f>
        <v>946.8375333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262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263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/>
      <c r="E4" s="43"/>
      <c r="F4" s="43"/>
      <c r="G4" s="46">
        <f>SUM(D4,E4,F4)</f>
        <v>0</v>
      </c>
      <c r="H4" s="49" t="str">
        <f>AVERAGE(D4,E4,F4)</f>
        <v>#DIV/0!</v>
      </c>
      <c r="I4" s="36"/>
      <c r="J4" s="50">
        <v>0.6</v>
      </c>
      <c r="K4" s="51" t="s">
        <v>15</v>
      </c>
      <c r="L4" s="52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6" t="s">
        <v>17</v>
      </c>
      <c r="F5" s="33" t="s">
        <v>18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/>
      <c r="E6" s="43"/>
      <c r="F6" s="43"/>
      <c r="G6" s="46">
        <f>SUM(D6,E6,F6)</f>
        <v>0</v>
      </c>
      <c r="H6" s="49" t="str">
        <f>AVERAGE(D6,E6,F6)</f>
        <v>#DIV/0!</v>
      </c>
      <c r="I6" s="36"/>
      <c r="J6" s="50">
        <v>4.0</v>
      </c>
      <c r="K6" s="51"/>
      <c r="L6" s="52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6" t="s">
        <v>25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/>
      <c r="E8" s="63"/>
      <c r="F8" s="63"/>
      <c r="G8" s="46">
        <f>SUM(D8,E8,F8)</f>
        <v>0</v>
      </c>
      <c r="H8" s="49" t="str">
        <f>AVERAGE(D8,E8,F8)</f>
        <v>#DIV/0!</v>
      </c>
      <c r="I8" s="36"/>
      <c r="J8" s="50">
        <v>0.6</v>
      </c>
      <c r="K8" s="51"/>
      <c r="L8" s="52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3" t="s">
        <v>31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/>
      <c r="E10" s="43"/>
      <c r="F10" s="63"/>
      <c r="G10" s="46">
        <f>SUM(D10,E10,F10)</f>
        <v>0</v>
      </c>
      <c r="H10" s="49" t="str">
        <f>AVERAGE(D10,E10,F10)</f>
        <v>#DIV/0!</v>
      </c>
      <c r="I10" s="36"/>
      <c r="J10" s="50">
        <v>1.2</v>
      </c>
      <c r="K10" s="51"/>
      <c r="L10" s="52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7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/>
      <c r="E12" s="63"/>
      <c r="F12" s="43"/>
      <c r="G12" s="46">
        <f>SUM(D12,E12,F12)</f>
        <v>0</v>
      </c>
      <c r="H12" s="49" t="str">
        <f>AVERAGE(D12,E12,F12)</f>
        <v>#DIV/0!</v>
      </c>
      <c r="I12" s="36"/>
      <c r="J12" s="50">
        <v>0.0</v>
      </c>
      <c r="K12" s="51"/>
      <c r="L12" s="52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7" t="s">
        <v>264</v>
      </c>
      <c r="E13" s="56" t="s">
        <v>40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/>
      <c r="E14" s="43"/>
      <c r="F14" s="43"/>
      <c r="G14" s="46">
        <f>SUM(D14,E14,F14)</f>
        <v>0</v>
      </c>
      <c r="H14" s="49" t="str">
        <f>AVERAGE(D14,E14,F14)</f>
        <v>#DIV/0!</v>
      </c>
      <c r="I14" s="36"/>
      <c r="J14" s="50">
        <v>1.0</v>
      </c>
      <c r="K14" s="51"/>
      <c r="L14" s="52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/>
      <c r="E16" s="63"/>
      <c r="F16" s="63"/>
      <c r="G16" s="46">
        <f>SUM(D16,E16,F16)</f>
        <v>0</v>
      </c>
      <c r="H16" s="49" t="str">
        <f>AVERAGE(D16,E16,F16)</f>
        <v>#DIV/0!</v>
      </c>
      <c r="I16" s="36"/>
      <c r="J16" s="50">
        <v>6.0</v>
      </c>
      <c r="K16" s="51"/>
      <c r="L16" s="52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/>
      <c r="E18" s="63"/>
      <c r="F18" s="63"/>
      <c r="G18" s="46">
        <f>SUM(D18,E18,F18)</f>
        <v>0</v>
      </c>
      <c r="H18" s="49" t="str">
        <f>AVERAGE(D18,E18,F18)</f>
        <v>#DIV/0!</v>
      </c>
      <c r="I18" s="36"/>
      <c r="J18" s="50">
        <v>0.0</v>
      </c>
      <c r="K18" s="51"/>
      <c r="L18" s="52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/>
      <c r="E20" s="63"/>
      <c r="F20" s="63"/>
      <c r="G20" s="46">
        <f>SUM(D20,E20,F20)</f>
        <v>0</v>
      </c>
      <c r="H20" s="49" t="str">
        <f>AVERAGE(D20,E20,F20)</f>
        <v>#DIV/0!</v>
      </c>
      <c r="I20" s="36"/>
      <c r="J20" s="50">
        <v>9.0</v>
      </c>
      <c r="K20" s="51"/>
      <c r="L20" s="52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/>
      <c r="E22" s="63"/>
      <c r="F22" s="63"/>
      <c r="G22" s="46">
        <f>SUM(D22,E22,F22)</f>
        <v>0</v>
      </c>
      <c r="H22" s="49" t="str">
        <f>AVERAGE(D22,E22,F22)</f>
        <v>#DIV/0!</v>
      </c>
      <c r="I22" s="36"/>
      <c r="J22" s="50">
        <v>0.0</v>
      </c>
      <c r="K22" s="51"/>
      <c r="L22" s="52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/>
      <c r="E24" s="63"/>
      <c r="F24" s="63"/>
      <c r="G24" s="46">
        <f>SUM(D24,E24,F24)</f>
        <v>0</v>
      </c>
      <c r="H24" s="49" t="str">
        <f>AVERAGE(D24,E24,F24)</f>
        <v>#DIV/0!</v>
      </c>
      <c r="I24" s="9"/>
      <c r="J24" s="50">
        <v>0.0</v>
      </c>
      <c r="K24" s="51"/>
      <c r="L24" s="52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6" t="s">
        <v>61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/>
      <c r="E26" s="63"/>
      <c r="F26" s="43"/>
      <c r="G26" s="46">
        <f>SUM(D26,E26,F26)</f>
        <v>0</v>
      </c>
      <c r="H26" s="49" t="str">
        <f>AVERAGE(D26,E26,F26)</f>
        <v>#DIV/0!</v>
      </c>
      <c r="I26" s="9"/>
      <c r="J26" s="50">
        <v>3.0</v>
      </c>
      <c r="K26" s="51"/>
      <c r="L26" s="52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97" t="s">
        <v>233</v>
      </c>
      <c r="C27" s="55"/>
      <c r="D27" s="57" t="s">
        <v>65</v>
      </c>
      <c r="E27" s="57" t="s">
        <v>101</v>
      </c>
      <c r="F27" s="32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/>
      <c r="E28" s="43"/>
      <c r="F28" s="43"/>
      <c r="G28" s="46">
        <f>SUM(D28,E28,F28)</f>
        <v>0</v>
      </c>
      <c r="H28" s="49" t="str">
        <f>AVERAGE(D28,E28,F28)</f>
        <v>#DIV/0!</v>
      </c>
      <c r="I28" s="9"/>
      <c r="J28" s="50">
        <v>0.0</v>
      </c>
      <c r="K28" s="51"/>
      <c r="L28" s="52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2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/>
      <c r="E30" s="63"/>
      <c r="F30" s="43"/>
      <c r="G30" s="46">
        <f>SUM(D30,E30,F30)</f>
        <v>0</v>
      </c>
      <c r="H30" s="49" t="str">
        <f>AVERAGE(D30,E30,F30)</f>
        <v>#DIV/0!</v>
      </c>
      <c r="I30" s="9"/>
      <c r="J30" s="50">
        <v>6.0</v>
      </c>
      <c r="K30" s="51"/>
      <c r="L30" s="52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/>
      <c r="E32" s="43"/>
      <c r="F32" s="43"/>
      <c r="G32" s="46">
        <f>SUM(D32,E32,F32)</f>
        <v>0</v>
      </c>
      <c r="H32" s="49" t="str">
        <f>AVERAGE(D32,E32,F32)</f>
        <v>#DIV/0!</v>
      </c>
      <c r="I32" s="9"/>
      <c r="J32" s="50">
        <v>7.5</v>
      </c>
      <c r="K32" s="51"/>
      <c r="L32" s="52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7" t="s">
        <v>87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/>
      <c r="E34" s="63"/>
      <c r="F34" s="63"/>
      <c r="G34" s="46">
        <f>SUM(D34,E34,F34)</f>
        <v>0</v>
      </c>
      <c r="H34" s="49" t="str">
        <f>AVERAGE(D34,E34,F34)</f>
        <v>#DIV/0!</v>
      </c>
      <c r="I34" s="9"/>
      <c r="J34" s="50">
        <v>0.83</v>
      </c>
      <c r="K34" s="51"/>
      <c r="L34" s="52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7" t="s">
        <v>265</v>
      </c>
      <c r="E35" s="56" t="s">
        <v>81</v>
      </c>
      <c r="F35" s="33" t="s">
        <v>82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/>
      <c r="E36" s="43"/>
      <c r="F36" s="43"/>
      <c r="G36" s="46">
        <f>SUM(D36,E36,F36)</f>
        <v>0</v>
      </c>
      <c r="H36" s="49" t="str">
        <f>AVERAGE(D36,E36,F36)</f>
        <v>#DIV/0!</v>
      </c>
      <c r="I36" s="9"/>
      <c r="J36" s="50">
        <v>7.5</v>
      </c>
      <c r="K36" s="51"/>
      <c r="L36" s="52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84</v>
      </c>
      <c r="F37" s="32" t="s">
        <v>240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/>
      <c r="E38" s="43"/>
      <c r="F38" s="43"/>
      <c r="G38" s="46">
        <f>SUM(D38,E38,F38)</f>
        <v>0</v>
      </c>
      <c r="H38" s="49" t="str">
        <f>AVERAGE(D38,E38,F38)</f>
        <v>#DIV/0!</v>
      </c>
      <c r="I38" s="9"/>
      <c r="J38" s="50">
        <v>0.0</v>
      </c>
      <c r="K38" s="51"/>
      <c r="L38" s="52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6" t="s">
        <v>86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/>
      <c r="E40" s="43"/>
      <c r="F40" s="43"/>
      <c r="G40" s="46">
        <f>SUM(D40,E40,F40)</f>
        <v>0</v>
      </c>
      <c r="H40" s="49" t="str">
        <f>AVERAGE(D40,E40,F40)</f>
        <v>#DIV/0!</v>
      </c>
      <c r="I40" s="9"/>
      <c r="J40" s="50">
        <v>0.0</v>
      </c>
      <c r="K40" s="51"/>
      <c r="L40" s="52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6" t="s">
        <v>89</v>
      </c>
      <c r="E41" s="56" t="s">
        <v>90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63"/>
      <c r="E42" s="43"/>
      <c r="F42" s="43"/>
      <c r="G42" s="46">
        <f>SUM(D42,E42,F42)</f>
        <v>0</v>
      </c>
      <c r="H42" s="49" t="str">
        <f>AVERAGE(D42,E42,F42)</f>
        <v>#DIV/0!</v>
      </c>
      <c r="I42" s="9"/>
      <c r="J42" s="50">
        <v>0.0</v>
      </c>
      <c r="K42" s="51"/>
      <c r="L42" s="52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3" t="s">
        <v>97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/>
      <c r="E44" s="43"/>
      <c r="F44" s="43"/>
      <c r="G44" s="46">
        <f>SUM(D44,E44,F44)</f>
        <v>0</v>
      </c>
      <c r="H44" s="49" t="str">
        <f>AVERAGE(D44,E44,F44)</f>
        <v>#DIV/0!</v>
      </c>
      <c r="I44" s="9"/>
      <c r="J44" s="50">
        <v>3.0</v>
      </c>
      <c r="K44" s="51"/>
      <c r="L44" s="52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/>
      <c r="E46" s="43"/>
      <c r="F46" s="43"/>
      <c r="G46" s="46">
        <f>SUM(D46,E46,F46)</f>
        <v>0</v>
      </c>
      <c r="H46" s="49" t="str">
        <f>AVERAGE(D46,E46,F46)</f>
        <v>#DIV/0!</v>
      </c>
      <c r="I46" s="9"/>
      <c r="J46" s="50">
        <v>3.0</v>
      </c>
      <c r="K46" s="51"/>
      <c r="L46" s="52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6" t="s">
        <v>105</v>
      </c>
      <c r="E47" s="56" t="s">
        <v>106</v>
      </c>
      <c r="F47" s="32" t="s">
        <v>266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63"/>
      <c r="E48" s="63"/>
      <c r="F48" s="43"/>
      <c r="G48" s="46">
        <f>SUM(D48,E48,F48)</f>
        <v>0</v>
      </c>
      <c r="H48" s="49" t="str">
        <f>AVERAGE(D48,E48,F48)</f>
        <v>#DIV/0!</v>
      </c>
      <c r="I48" s="9"/>
      <c r="J48" s="50">
        <v>0.0</v>
      </c>
      <c r="K48" s="51"/>
      <c r="L48" s="52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6" t="s">
        <v>105</v>
      </c>
      <c r="E49" s="56" t="s">
        <v>106</v>
      </c>
      <c r="F49" s="32" t="s">
        <v>267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/>
      <c r="E50" s="63"/>
      <c r="F50" s="43"/>
      <c r="G50" s="46">
        <f>SUM(D50,E50,F50)</f>
        <v>0</v>
      </c>
      <c r="H50" s="49" t="str">
        <f>AVERAGE(D50,E50,F50)</f>
        <v>#DIV/0!</v>
      </c>
      <c r="I50" s="9"/>
      <c r="J50" s="50">
        <v>0.0</v>
      </c>
      <c r="K50" s="51"/>
      <c r="L50" s="52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6" t="s">
        <v>105</v>
      </c>
      <c r="E51" s="56" t="s">
        <v>106</v>
      </c>
      <c r="F51" s="32" t="s">
        <v>156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/>
      <c r="E52" s="43"/>
      <c r="F52" s="43"/>
      <c r="G52" s="46">
        <f>SUM(D52,E52,F52)</f>
        <v>0</v>
      </c>
      <c r="H52" s="49" t="str">
        <f>AVERAGE(D52,E52,F52)</f>
        <v>#DIV/0!</v>
      </c>
      <c r="I52" s="9"/>
      <c r="J52" s="50">
        <v>0.0</v>
      </c>
      <c r="K52" s="51"/>
      <c r="L52" s="52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6" t="s">
        <v>239</v>
      </c>
      <c r="E53" s="56" t="s">
        <v>66</v>
      </c>
      <c r="F53" s="32" t="s">
        <v>212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/>
      <c r="E54" s="43"/>
      <c r="F54" s="43"/>
      <c r="G54" s="46">
        <f>SUM(D54,E54,F54)</f>
        <v>0</v>
      </c>
      <c r="H54" s="49" t="str">
        <f>AVERAGE(D54,E54,F54)</f>
        <v>#DIV/0!</v>
      </c>
      <c r="I54" s="9"/>
      <c r="J54" s="86">
        <v>0.0</v>
      </c>
      <c r="K54" s="87"/>
      <c r="L54" s="52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/>
      <c r="E58" s="63"/>
      <c r="F58" s="63"/>
      <c r="G58" s="46">
        <f>SUM(D58,E58,F58)</f>
        <v>0</v>
      </c>
      <c r="H58" s="49" t="str">
        <f>AVERAGE(D58,E58,F58)</f>
        <v>#DIV/0!</v>
      </c>
      <c r="I58" s="9"/>
      <c r="J58" s="99">
        <v>4.0</v>
      </c>
      <c r="K58" s="51"/>
      <c r="L58" s="52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6" t="s">
        <v>123</v>
      </c>
      <c r="E59" s="56" t="s">
        <v>124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/>
      <c r="E60" s="43"/>
      <c r="F60" s="63"/>
      <c r="G60" s="46">
        <f>SUM(D60,E60,F60)</f>
        <v>0</v>
      </c>
      <c r="H60" s="49" t="str">
        <f>AVERAGE(D60,E60,F60)</f>
        <v>#DIV/0!</v>
      </c>
      <c r="I60" s="9"/>
      <c r="J60" s="99">
        <v>15.0</v>
      </c>
      <c r="K60" s="51"/>
      <c r="L60" s="52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268</v>
      </c>
      <c r="F61" s="33" t="s">
        <v>129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/>
      <c r="E62" s="43"/>
      <c r="F62" s="43"/>
      <c r="G62" s="46">
        <f>SUM(D62,E62,F62)</f>
        <v>0</v>
      </c>
      <c r="H62" s="49" t="str">
        <f>AVERAGE(D62,E62,F62)</f>
        <v>#DIV/0!</v>
      </c>
      <c r="I62" s="9"/>
      <c r="J62" s="99">
        <v>2.0</v>
      </c>
      <c r="K62" s="51"/>
      <c r="L62" s="52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6" t="s">
        <v>124</v>
      </c>
      <c r="F63" s="33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/>
      <c r="E64" s="43"/>
      <c r="F64" s="43"/>
      <c r="G64" s="46">
        <f>SUM(D64,E64,F64)</f>
        <v>0</v>
      </c>
      <c r="H64" s="49" t="str">
        <f>AVERAGE(D64,E64,F64)</f>
        <v>#DIV/0!</v>
      </c>
      <c r="I64" s="9"/>
      <c r="J64" s="99">
        <v>2.0</v>
      </c>
      <c r="K64" s="51"/>
      <c r="L64" s="52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 t="str">
        <f>SUM(H57:H64)</f>
        <v>#DIV/0!</v>
      </c>
      <c r="I65" s="92"/>
      <c r="J65" s="93" t="s">
        <v>9</v>
      </c>
      <c r="K65" s="90"/>
      <c r="L65" s="94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270</v>
      </c>
      <c r="E67" s="57" t="s">
        <v>271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/>
      <c r="E68" s="43"/>
      <c r="F68" s="43"/>
      <c r="G68" s="46">
        <f>SUM(D68,E68,F68)</f>
        <v>0</v>
      </c>
      <c r="H68" s="49" t="str">
        <f>AVERAGE(D68,E68,F68)</f>
        <v>#DIV/0!</v>
      </c>
      <c r="I68" s="9"/>
      <c r="J68" s="99">
        <v>3.0</v>
      </c>
      <c r="K68" s="51"/>
      <c r="L68" s="52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/>
      <c r="E70" s="43"/>
      <c r="F70" s="63"/>
      <c r="G70" s="46">
        <f>SUM(D70,E70,F70)</f>
        <v>0</v>
      </c>
      <c r="H70" s="49" t="str">
        <f>AVERAGE(D70,E70,F70)</f>
        <v>#DIV/0!</v>
      </c>
      <c r="I70" s="9"/>
      <c r="J70" s="99">
        <v>2.0</v>
      </c>
      <c r="K70" s="51"/>
      <c r="L70" s="52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6" t="s">
        <v>146</v>
      </c>
      <c r="F71" s="32" t="s">
        <v>176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/>
      <c r="E72" s="43"/>
      <c r="F72" s="43"/>
      <c r="G72" s="46">
        <f>SUM(D72,E72,F72)</f>
        <v>0</v>
      </c>
      <c r="H72" s="49" t="str">
        <f>AVERAGE(D72,E72,F72)</f>
        <v>#DIV/0!</v>
      </c>
      <c r="I72" s="9"/>
      <c r="J72" s="99">
        <v>10.0</v>
      </c>
      <c r="K72" s="51"/>
      <c r="L72" s="52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229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/>
      <c r="E74" s="43"/>
      <c r="F74" s="63"/>
      <c r="G74" s="46">
        <f>SUM(D74,E74,F74)</f>
        <v>0</v>
      </c>
      <c r="H74" s="49" t="str">
        <f>AVERAGE(D74,E74,F74)</f>
        <v>#DIV/0!</v>
      </c>
      <c r="I74" s="9"/>
      <c r="J74" s="99">
        <v>2.0</v>
      </c>
      <c r="K74" s="51"/>
      <c r="L74" s="52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6" t="s">
        <v>154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/>
      <c r="E76" s="43"/>
      <c r="F76" s="63"/>
      <c r="G76" s="46">
        <f>SUM(D76,E76,F76)</f>
        <v>0</v>
      </c>
      <c r="H76" s="49" t="str">
        <f>AVERAGE(D76,E76,F76)</f>
        <v>#DIV/0!</v>
      </c>
      <c r="I76" s="9"/>
      <c r="J76" s="99">
        <v>1.0</v>
      </c>
      <c r="K76" s="51"/>
      <c r="L76" s="52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 t="str">
        <f>SUM(H68:H76)</f>
        <v>#DIV/0!</v>
      </c>
      <c r="I77" s="92"/>
      <c r="J77" s="93" t="s">
        <v>9</v>
      </c>
      <c r="K77" s="90"/>
      <c r="L77" s="102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9"/>
      <c r="J80" s="9"/>
      <c r="K80" s="107" t="s">
        <v>9</v>
      </c>
      <c r="L80" s="102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269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263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19.96</v>
      </c>
      <c r="E4" s="43">
        <v>18.66</v>
      </c>
      <c r="F4" s="43">
        <v>15.96</v>
      </c>
      <c r="G4" s="46">
        <f>SUM(D4,E4,F4)</f>
        <v>54.58</v>
      </c>
      <c r="H4" s="49">
        <f>AVERAGE(D4,E4,F4)</f>
        <v>18.19333333</v>
      </c>
      <c r="I4" s="36"/>
      <c r="J4" s="50">
        <v>0.6</v>
      </c>
      <c r="K4" s="51" t="s">
        <v>15</v>
      </c>
      <c r="L4" s="52">
        <f>H4*J4</f>
        <v>10.916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7" t="s">
        <v>272</v>
      </c>
      <c r="F5" s="33" t="s">
        <v>18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10.99</v>
      </c>
      <c r="E6" s="43">
        <v>12.0</v>
      </c>
      <c r="F6" s="43"/>
      <c r="G6" s="46">
        <f>SUM(D6,E6,F6)</f>
        <v>22.99</v>
      </c>
      <c r="H6" s="49">
        <f>AVERAGE(D6,E6,F6)</f>
        <v>11.495</v>
      </c>
      <c r="I6" s="36"/>
      <c r="J6" s="50">
        <v>4.0</v>
      </c>
      <c r="K6" s="51"/>
      <c r="L6" s="52">
        <f>H6*J6</f>
        <v>45.98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6" t="s">
        <v>25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13.99</v>
      </c>
      <c r="E8" s="63"/>
      <c r="F8" s="63"/>
      <c r="G8" s="46">
        <f>SUM(D8,E8,F8)</f>
        <v>13.99</v>
      </c>
      <c r="H8" s="49">
        <f>AVERAGE(D8,E8,F8)</f>
        <v>13.99</v>
      </c>
      <c r="I8" s="36"/>
      <c r="J8" s="50">
        <v>0.6</v>
      </c>
      <c r="K8" s="51"/>
      <c r="L8" s="52">
        <f>H8*J8</f>
        <v>8.394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2" t="s">
        <v>273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/>
      <c r="E10" s="43">
        <v>27.98</v>
      </c>
      <c r="F10" s="43" t="s">
        <v>274</v>
      </c>
      <c r="G10" s="46">
        <f>SUM(D10,E10,F10)</f>
        <v>27.98</v>
      </c>
      <c r="H10" s="49">
        <f>AVERAGE(D10,E10,F10)</f>
        <v>27.98</v>
      </c>
      <c r="I10" s="36"/>
      <c r="J10" s="50">
        <v>1.2</v>
      </c>
      <c r="K10" s="51"/>
      <c r="L10" s="52">
        <f>H10*J10</f>
        <v>33.576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6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/>
      <c r="E12" s="43">
        <v>9.79</v>
      </c>
      <c r="F12" s="43">
        <v>6.46</v>
      </c>
      <c r="G12" s="46">
        <f>SUM(D12,E12,F12)</f>
        <v>16.25</v>
      </c>
      <c r="H12" s="49">
        <f>AVERAGE(D12,E12,F12)</f>
        <v>8.125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7" t="s">
        <v>6</v>
      </c>
      <c r="E13" s="57" t="s">
        <v>48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5.96</v>
      </c>
      <c r="E14" s="43">
        <v>5.66</v>
      </c>
      <c r="F14" s="43"/>
      <c r="G14" s="46">
        <f>SUM(D14,E14,F14)</f>
        <v>11.62</v>
      </c>
      <c r="H14" s="49">
        <f>AVERAGE(D14,E14,F14)</f>
        <v>5.81</v>
      </c>
      <c r="I14" s="36"/>
      <c r="J14" s="50">
        <v>1.0</v>
      </c>
      <c r="K14" s="51"/>
      <c r="L14" s="52">
        <f>H14*J14</f>
        <v>5.81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3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9.99</v>
      </c>
      <c r="E16" s="63"/>
      <c r="F16" s="63"/>
      <c r="G16" s="46">
        <f>SUM(D16,E16,F16)</f>
        <v>9.99</v>
      </c>
      <c r="H16" s="49">
        <f>AVERAGE(D16,E16,F16)</f>
        <v>9.99</v>
      </c>
      <c r="I16" s="36"/>
      <c r="J16" s="50">
        <v>6.0</v>
      </c>
      <c r="K16" s="51"/>
      <c r="L16" s="52">
        <f>H16*J16</f>
        <v>59.94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6.96</v>
      </c>
      <c r="E18" s="63"/>
      <c r="F18" s="63"/>
      <c r="G18" s="46">
        <f>SUM(D18,E18,F18)</f>
        <v>6.96</v>
      </c>
      <c r="H18" s="49">
        <f>AVERAGE(D18,E18,F18)</f>
        <v>6.96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9.96</v>
      </c>
      <c r="E20" s="63"/>
      <c r="F20" s="63"/>
      <c r="G20" s="46">
        <f>SUM(D20,E20,F20)</f>
        <v>9.96</v>
      </c>
      <c r="H20" s="49">
        <f>AVERAGE(D20,E20,F20)</f>
        <v>9.96</v>
      </c>
      <c r="I20" s="36"/>
      <c r="J20" s="50">
        <v>9.0</v>
      </c>
      <c r="K20" s="51"/>
      <c r="L20" s="52">
        <f>H20*J20</f>
        <v>89.64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7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21.96</v>
      </c>
      <c r="E22" s="63"/>
      <c r="F22" s="63"/>
      <c r="G22" s="46">
        <f>SUM(D22,E22,F22)</f>
        <v>21.96</v>
      </c>
      <c r="H22" s="49">
        <f>AVERAGE(D22,E22,F22)</f>
        <v>21.96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9.96</v>
      </c>
      <c r="E24" s="63"/>
      <c r="F24" s="63"/>
      <c r="G24" s="46">
        <f>SUM(D24,E24,F24)</f>
        <v>9.96</v>
      </c>
      <c r="H24" s="49">
        <f>AVERAGE(D24,E24,F24)</f>
        <v>9.96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7" t="s">
        <v>275</v>
      </c>
      <c r="E25" s="56" t="s">
        <v>61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8.96</v>
      </c>
      <c r="E26" s="63"/>
      <c r="F26" s="43"/>
      <c r="G26" s="46">
        <f>SUM(D26,E26,F26)</f>
        <v>8.96</v>
      </c>
      <c r="H26" s="49">
        <f>AVERAGE(D26,E26,F26)</f>
        <v>8.96</v>
      </c>
      <c r="I26" s="9"/>
      <c r="J26" s="50">
        <v>3.0</v>
      </c>
      <c r="K26" s="51"/>
      <c r="L26" s="52">
        <f>H26*J26</f>
        <v>26.88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54" t="s">
        <v>64</v>
      </c>
      <c r="C27" s="55"/>
      <c r="D27" s="56" t="s">
        <v>65</v>
      </c>
      <c r="E27" s="57" t="s">
        <v>276</v>
      </c>
      <c r="F27" s="32" t="s">
        <v>277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63"/>
      <c r="E28" s="43">
        <v>2.1</v>
      </c>
      <c r="F28" s="43">
        <v>3.33</v>
      </c>
      <c r="G28" s="46">
        <f>SUM(D28,E28,F28)</f>
        <v>5.43</v>
      </c>
      <c r="H28" s="49">
        <f>AVERAGE(D28,E28,F28)</f>
        <v>2.715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14.96</v>
      </c>
      <c r="E30" s="63"/>
      <c r="F30" s="63"/>
      <c r="G30" s="46">
        <f>SUM(D30,E30,F30)</f>
        <v>14.96</v>
      </c>
      <c r="H30" s="49">
        <f>AVERAGE(D30,E30,F30)</f>
        <v>14.96</v>
      </c>
      <c r="I30" s="9"/>
      <c r="J30" s="50">
        <v>6.0</v>
      </c>
      <c r="K30" s="51"/>
      <c r="L30" s="52">
        <f>H30*J30</f>
        <v>89.76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4.96</v>
      </c>
      <c r="E32" s="43">
        <v>4.49</v>
      </c>
      <c r="F32" s="63"/>
      <c r="G32" s="46">
        <f>SUM(D32,E32,F32)</f>
        <v>9.45</v>
      </c>
      <c r="H32" s="49">
        <f>AVERAGE(D32,E32,F32)</f>
        <v>4.725</v>
      </c>
      <c r="I32" s="9"/>
      <c r="J32" s="50">
        <v>7.5</v>
      </c>
      <c r="K32" s="51"/>
      <c r="L32" s="52">
        <f>H32*J32</f>
        <v>35.4375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6" t="s">
        <v>87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7.96</v>
      </c>
      <c r="E34" s="63"/>
      <c r="F34" s="43">
        <v>6.98</v>
      </c>
      <c r="G34" s="46">
        <f>SUM(D34,E34,F34)</f>
        <v>14.94</v>
      </c>
      <c r="H34" s="49">
        <f>AVERAGE(D34,E34,F34)</f>
        <v>7.47</v>
      </c>
      <c r="I34" s="9"/>
      <c r="J34" s="50">
        <v>0.83</v>
      </c>
      <c r="K34" s="51"/>
      <c r="L34" s="52">
        <f>H34*J34</f>
        <v>6.2001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3" t="s">
        <v>82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5.48</v>
      </c>
      <c r="E36" s="43">
        <v>6.46</v>
      </c>
      <c r="F36" s="43">
        <v>4.48</v>
      </c>
      <c r="G36" s="46">
        <f>SUM(D36,E36,F36)</f>
        <v>16.42</v>
      </c>
      <c r="H36" s="49">
        <f>AVERAGE(D36,E36,F36)</f>
        <v>5.473333333</v>
      </c>
      <c r="I36" s="9"/>
      <c r="J36" s="50">
        <v>7.5</v>
      </c>
      <c r="K36" s="51"/>
      <c r="L36" s="52">
        <f>H36*J36</f>
        <v>41.05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278</v>
      </c>
      <c r="F37" s="32" t="s">
        <v>82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20.96</v>
      </c>
      <c r="E38" s="43"/>
      <c r="F38" s="43">
        <v>15.98</v>
      </c>
      <c r="G38" s="46">
        <f>SUM(D38,E38,F38)</f>
        <v>36.94</v>
      </c>
      <c r="H38" s="49">
        <f>AVERAGE(D38,E38,F38)</f>
        <v>18.47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7" t="s">
        <v>279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5.33</v>
      </c>
      <c r="E40" s="43">
        <v>3.96</v>
      </c>
      <c r="F40" s="43">
        <v>5.65</v>
      </c>
      <c r="G40" s="46">
        <f>SUM(D40,E40,F40)</f>
        <v>14.94</v>
      </c>
      <c r="H40" s="49">
        <f>AVERAGE(D40,E40,F40)</f>
        <v>4.98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186</v>
      </c>
      <c r="E41" s="56" t="s">
        <v>90</v>
      </c>
      <c r="F41" s="32" t="s">
        <v>280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/>
      <c r="E42" s="43">
        <v>7.33</v>
      </c>
      <c r="F42" s="43">
        <v>7.96</v>
      </c>
      <c r="G42" s="46">
        <f>SUM(D42,E42,F42)</f>
        <v>15.29</v>
      </c>
      <c r="H42" s="49">
        <f>AVERAGE(D42,E42,F42)</f>
        <v>7.645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7" t="s">
        <v>284</v>
      </c>
      <c r="F43" s="33" t="s">
        <v>97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44.96</v>
      </c>
      <c r="E44" s="43"/>
      <c r="F44" s="43">
        <v>41.96</v>
      </c>
      <c r="G44" s="46">
        <f>SUM(D44,E44,F44)</f>
        <v>86.92</v>
      </c>
      <c r="H44" s="49">
        <f>AVERAGE(D44,E44,F44)</f>
        <v>43.46</v>
      </c>
      <c r="I44" s="9"/>
      <c r="J44" s="50">
        <v>3.0</v>
      </c>
      <c r="K44" s="51"/>
      <c r="L44" s="52">
        <f>H44*J44</f>
        <v>130.38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7" t="s">
        <v>289</v>
      </c>
      <c r="E45" s="56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32.96</v>
      </c>
      <c r="E46" s="43">
        <v>22.96</v>
      </c>
      <c r="F46" s="63"/>
      <c r="G46" s="46">
        <f>SUM(D46,E46,F46)</f>
        <v>55.92</v>
      </c>
      <c r="H46" s="49">
        <f>AVERAGE(D46,E46,F46)</f>
        <v>27.96</v>
      </c>
      <c r="I46" s="9"/>
      <c r="J46" s="50">
        <v>3.0</v>
      </c>
      <c r="K46" s="51"/>
      <c r="L46" s="52">
        <f>H46*J46</f>
        <v>83.88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6" t="s">
        <v>105</v>
      </c>
      <c r="E47" s="56" t="s">
        <v>106</v>
      </c>
      <c r="F47" s="32" t="s">
        <v>291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11.96</v>
      </c>
      <c r="E48" s="43">
        <v>7.98</v>
      </c>
      <c r="F48" s="43"/>
      <c r="G48" s="46">
        <f>SUM(D48,E48,F48)</f>
        <v>19.94</v>
      </c>
      <c r="H48" s="49">
        <f>AVERAGE(D48,E48,F48)</f>
        <v>9.97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7" t="s">
        <v>156</v>
      </c>
      <c r="E49" s="56" t="s">
        <v>106</v>
      </c>
      <c r="F49" s="32" t="s">
        <v>126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13.7</v>
      </c>
      <c r="E50" s="43">
        <v>11.8</v>
      </c>
      <c r="F50" s="43"/>
      <c r="G50" s="46">
        <f>SUM(D50,E50,F50)</f>
        <v>25.5</v>
      </c>
      <c r="H50" s="49">
        <f>AVERAGE(D50,E50,F50)</f>
        <v>12.75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126</v>
      </c>
      <c r="E51" s="57" t="s">
        <v>294</v>
      </c>
      <c r="F51" s="33" t="s">
        <v>111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15.8</v>
      </c>
      <c r="E52" s="43">
        <v>23.9</v>
      </c>
      <c r="F52" s="43"/>
      <c r="G52" s="46">
        <f>SUM(D52,E52,F52)</f>
        <v>39.7</v>
      </c>
      <c r="H52" s="49">
        <f>AVERAGE(D52,E52,F52)</f>
        <v>19.85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7" t="s">
        <v>162</v>
      </c>
      <c r="E53" s="56" t="s">
        <v>66</v>
      </c>
      <c r="F53" s="32" t="s">
        <v>113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39.98</v>
      </c>
      <c r="E54" s="43">
        <v>34.95</v>
      </c>
      <c r="F54" s="43"/>
      <c r="G54" s="46">
        <f>SUM(D54,E54,F54)</f>
        <v>74.93</v>
      </c>
      <c r="H54" s="49">
        <f>AVERAGE(D54,E54,F54)</f>
        <v>37.465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>
        <f>SUM(H4:H54)</f>
        <v>371.2766667</v>
      </c>
      <c r="I55" s="92"/>
      <c r="J55" s="93" t="s">
        <v>9</v>
      </c>
      <c r="K55" s="90"/>
      <c r="L55" s="94">
        <f>SUM(L4:L54)</f>
        <v>667.8436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6" t="s">
        <v>120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/>
      <c r="E58" s="43"/>
      <c r="F58" s="43">
        <v>12.46</v>
      </c>
      <c r="G58" s="46">
        <f>SUM(D58,E58,F58)</f>
        <v>12.46</v>
      </c>
      <c r="H58" s="49">
        <f>AVERAGE(D58,E58,F58)</f>
        <v>12.46</v>
      </c>
      <c r="I58" s="9"/>
      <c r="J58" s="99">
        <v>4.0</v>
      </c>
      <c r="K58" s="51"/>
      <c r="L58" s="52">
        <f>H58*J58</f>
        <v>49.84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6" t="s">
        <v>123</v>
      </c>
      <c r="E59" s="56" t="s">
        <v>124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3.46</v>
      </c>
      <c r="E60" s="43">
        <v>3.46</v>
      </c>
      <c r="F60" s="63"/>
      <c r="G60" s="46">
        <f>SUM(D60,E60,F60)</f>
        <v>6.92</v>
      </c>
      <c r="H60" s="49">
        <f>AVERAGE(D60,E60,F60)</f>
        <v>3.46</v>
      </c>
      <c r="I60" s="9"/>
      <c r="J60" s="99">
        <v>15.0</v>
      </c>
      <c r="K60" s="51"/>
      <c r="L60" s="52">
        <f>H60*J60</f>
        <v>51.9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128</v>
      </c>
      <c r="F61" s="33" t="s">
        <v>129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5.96</v>
      </c>
      <c r="E62" s="43">
        <v>4.96</v>
      </c>
      <c r="F62" s="43">
        <v>3.98</v>
      </c>
      <c r="G62" s="46">
        <f>SUM(D62,E62,F62)</f>
        <v>14.9</v>
      </c>
      <c r="H62" s="49">
        <f>AVERAGE(D62,E62,F62)</f>
        <v>4.966666667</v>
      </c>
      <c r="I62" s="9"/>
      <c r="J62" s="99">
        <v>2.0</v>
      </c>
      <c r="K62" s="51"/>
      <c r="L62" s="52">
        <f>H62*J62</f>
        <v>9.933333333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7" t="s">
        <v>132</v>
      </c>
      <c r="F63" s="32" t="s">
        <v>196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3.33</v>
      </c>
      <c r="E64" s="43">
        <v>3.2</v>
      </c>
      <c r="F64" s="43"/>
      <c r="G64" s="46">
        <f>SUM(D64,E64,F64)</f>
        <v>6.53</v>
      </c>
      <c r="H64" s="49">
        <f>AVERAGE(D64,E64,F64)</f>
        <v>3.265</v>
      </c>
      <c r="I64" s="9"/>
      <c r="J64" s="99">
        <v>2.0</v>
      </c>
      <c r="K64" s="51"/>
      <c r="L64" s="52">
        <f>H64*J64</f>
        <v>6.53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24.15166667</v>
      </c>
      <c r="I65" s="92"/>
      <c r="J65" s="93" t="s">
        <v>9</v>
      </c>
      <c r="K65" s="90"/>
      <c r="L65" s="94">
        <f>SUM(L57:L64)</f>
        <v>118.2033333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215</v>
      </c>
      <c r="E67" s="57" t="s">
        <v>270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6.88</v>
      </c>
      <c r="E68" s="43">
        <v>4.96</v>
      </c>
      <c r="F68" s="43"/>
      <c r="G68" s="46">
        <f>SUM(D68,E68,F68)</f>
        <v>11.84</v>
      </c>
      <c r="H68" s="49">
        <f>AVERAGE(D68,E68,F68)</f>
        <v>5.92</v>
      </c>
      <c r="I68" s="9"/>
      <c r="J68" s="99">
        <v>3.0</v>
      </c>
      <c r="K68" s="51"/>
      <c r="L68" s="52">
        <f>H68*J68</f>
        <v>17.76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6.96</v>
      </c>
      <c r="E70" s="43">
        <v>4.96</v>
      </c>
      <c r="F70" s="63"/>
      <c r="G70" s="46">
        <f>SUM(D70,E70,F70)</f>
        <v>11.92</v>
      </c>
      <c r="H70" s="49">
        <f>AVERAGE(D70,E70,F70)</f>
        <v>5.96</v>
      </c>
      <c r="I70" s="9"/>
      <c r="J70" s="99">
        <v>2.0</v>
      </c>
      <c r="K70" s="51"/>
      <c r="L70" s="52">
        <f>H70*J70</f>
        <v>11.92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6" t="s">
        <v>145</v>
      </c>
      <c r="E71" s="57" t="s">
        <v>303</v>
      </c>
      <c r="F71" s="32" t="s">
        <v>176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/>
      <c r="E72" s="43">
        <v>2.96</v>
      </c>
      <c r="F72" s="43">
        <v>2.25</v>
      </c>
      <c r="G72" s="46">
        <f>SUM(D72,E72,F72)</f>
        <v>5.21</v>
      </c>
      <c r="H72" s="49">
        <f>AVERAGE(D72,E72,F72)</f>
        <v>2.605</v>
      </c>
      <c r="I72" s="9"/>
      <c r="J72" s="99">
        <v>10.0</v>
      </c>
      <c r="K72" s="51"/>
      <c r="L72" s="52">
        <f>H72*J72</f>
        <v>26.05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177</v>
      </c>
      <c r="E73" s="57" t="s">
        <v>151</v>
      </c>
      <c r="F73" s="32" t="s">
        <v>304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16.96</v>
      </c>
      <c r="E74" s="43">
        <v>16.56</v>
      </c>
      <c r="F74" s="43"/>
      <c r="G74" s="46">
        <f>SUM(D74,E74,F74)</f>
        <v>33.52</v>
      </c>
      <c r="H74" s="49">
        <f>AVERAGE(D74,E74,F74)</f>
        <v>16.76</v>
      </c>
      <c r="I74" s="9"/>
      <c r="J74" s="99">
        <v>2.0</v>
      </c>
      <c r="K74" s="51"/>
      <c r="L74" s="52">
        <f>H74*J74</f>
        <v>33.52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7" t="s">
        <v>305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7.96</v>
      </c>
      <c r="E76" s="43">
        <v>9.96</v>
      </c>
      <c r="F76" s="63"/>
      <c r="G76" s="46">
        <f>SUM(D76,E76,F76)</f>
        <v>17.92</v>
      </c>
      <c r="H76" s="49">
        <f>AVERAGE(D76,E76,F76)</f>
        <v>8.96</v>
      </c>
      <c r="I76" s="9"/>
      <c r="J76" s="99">
        <v>1.0</v>
      </c>
      <c r="K76" s="51"/>
      <c r="L76" s="52">
        <f>H76*J76</f>
        <v>8.96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40.205</v>
      </c>
      <c r="I77" s="92"/>
      <c r="J77" s="93" t="s">
        <v>9</v>
      </c>
      <c r="K77" s="90"/>
      <c r="L77" s="102">
        <f>SUM(L68:L76)</f>
        <v>98.21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435.6333333</v>
      </c>
      <c r="I80" s="9"/>
      <c r="J80" s="9"/>
      <c r="K80" s="107" t="s">
        <v>9</v>
      </c>
      <c r="L80" s="102">
        <f>L55+L65+L77</f>
        <v>884.2569333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7" t="s">
        <v>281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5" t="s">
        <v>282</v>
      </c>
      <c r="B3" s="89"/>
      <c r="C3" s="90"/>
      <c r="D3" s="120" t="s">
        <v>283</v>
      </c>
      <c r="E3" s="89"/>
      <c r="F3" s="89"/>
      <c r="G3" s="90"/>
      <c r="H3" s="121" t="s">
        <v>9</v>
      </c>
      <c r="I3" s="121" t="s">
        <v>10</v>
      </c>
      <c r="J3" s="121"/>
      <c r="K3" s="121" t="s">
        <v>11</v>
      </c>
      <c r="L3" s="121" t="s">
        <v>12</v>
      </c>
      <c r="M3" s="122" t="s">
        <v>9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23">
        <v>1.0</v>
      </c>
      <c r="B4" s="97" t="s">
        <v>285</v>
      </c>
      <c r="C4" s="55"/>
      <c r="D4" s="56" t="s">
        <v>286</v>
      </c>
      <c r="E4" s="56" t="s">
        <v>287</v>
      </c>
      <c r="F4" s="33" t="s">
        <v>288</v>
      </c>
      <c r="G4" s="33"/>
      <c r="H4" s="34"/>
      <c r="I4" s="34"/>
      <c r="J4" s="9"/>
      <c r="K4" s="98"/>
      <c r="L4" s="89"/>
      <c r="M4" s="9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26"/>
      <c r="B5" s="41"/>
      <c r="C5" s="28"/>
      <c r="D5" s="43">
        <v>6.59</v>
      </c>
      <c r="E5" s="43">
        <v>4.49</v>
      </c>
      <c r="F5" s="43">
        <v>6.89</v>
      </c>
      <c r="G5" s="63"/>
      <c r="H5" s="46">
        <f>SUM(D5,E5,F5,G5)</f>
        <v>17.97</v>
      </c>
      <c r="I5" s="49">
        <f>AVERAGE(D5,E5,F5,G5)</f>
        <v>5.99</v>
      </c>
      <c r="J5" s="9"/>
      <c r="K5" s="99">
        <v>1.0</v>
      </c>
      <c r="L5" s="51"/>
      <c r="M5" s="52">
        <f>I5*K5</f>
        <v>5.99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23">
        <v>2.0</v>
      </c>
      <c r="B6" s="97" t="s">
        <v>290</v>
      </c>
      <c r="C6" s="55"/>
      <c r="D6" s="56" t="s">
        <v>286</v>
      </c>
      <c r="E6" s="56" t="s">
        <v>287</v>
      </c>
      <c r="F6" s="33" t="s">
        <v>288</v>
      </c>
      <c r="G6" s="33"/>
      <c r="H6" s="34"/>
      <c r="I6" s="34"/>
      <c r="J6" s="9"/>
      <c r="K6" s="98"/>
      <c r="L6" s="89"/>
      <c r="M6" s="9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26"/>
      <c r="B7" s="41"/>
      <c r="C7" s="28"/>
      <c r="D7" s="43">
        <v>6.59</v>
      </c>
      <c r="E7" s="43">
        <v>4.49</v>
      </c>
      <c r="F7" s="43">
        <v>6.99</v>
      </c>
      <c r="G7" s="63"/>
      <c r="H7" s="46">
        <f>SUM(D7,E7,F7,G7)</f>
        <v>18.07</v>
      </c>
      <c r="I7" s="49">
        <f>AVERAGE(D7,E7,F7,G7)</f>
        <v>6.023333333</v>
      </c>
      <c r="J7" s="9"/>
      <c r="K7" s="99">
        <v>1.0</v>
      </c>
      <c r="L7" s="51"/>
      <c r="M7" s="52">
        <f>I7*K7</f>
        <v>6.023333333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23">
        <v>3.0</v>
      </c>
      <c r="B8" s="97" t="s">
        <v>292</v>
      </c>
      <c r="C8" s="55"/>
      <c r="D8" s="56" t="s">
        <v>286</v>
      </c>
      <c r="E8" s="56" t="s">
        <v>287</v>
      </c>
      <c r="F8" s="33" t="s">
        <v>288</v>
      </c>
      <c r="G8" s="33"/>
      <c r="H8" s="34"/>
      <c r="I8" s="34"/>
      <c r="J8" s="9"/>
      <c r="K8" s="98"/>
      <c r="L8" s="89"/>
      <c r="M8" s="9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26"/>
      <c r="B9" s="41"/>
      <c r="C9" s="28"/>
      <c r="D9" s="43">
        <v>6.59</v>
      </c>
      <c r="E9" s="43">
        <v>4.49</v>
      </c>
      <c r="F9" s="43">
        <v>6.99</v>
      </c>
      <c r="G9" s="63"/>
      <c r="H9" s="46">
        <f>SUM(D9,E9,F9,G9)</f>
        <v>18.07</v>
      </c>
      <c r="I9" s="49">
        <f>AVERAGE(D9,E9,F9,G9)</f>
        <v>6.023333333</v>
      </c>
      <c r="J9" s="9"/>
      <c r="K9" s="99">
        <v>1.0</v>
      </c>
      <c r="L9" s="51"/>
      <c r="M9" s="52">
        <f>I9*K9</f>
        <v>6.023333333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23">
        <v>4.0</v>
      </c>
      <c r="B10" s="97" t="s">
        <v>293</v>
      </c>
      <c r="C10" s="55"/>
      <c r="D10" s="56" t="s">
        <v>286</v>
      </c>
      <c r="E10" s="56" t="s">
        <v>287</v>
      </c>
      <c r="F10" s="33" t="s">
        <v>288</v>
      </c>
      <c r="G10" s="33"/>
      <c r="H10" s="34"/>
      <c r="I10" s="34"/>
      <c r="J10" s="9"/>
      <c r="K10" s="98"/>
      <c r="L10" s="89"/>
      <c r="M10" s="9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26"/>
      <c r="B11" s="41"/>
      <c r="C11" s="28"/>
      <c r="D11" s="43">
        <v>6.59</v>
      </c>
      <c r="E11" s="43">
        <v>4.49</v>
      </c>
      <c r="F11" s="43">
        <v>6.89</v>
      </c>
      <c r="G11" s="63"/>
      <c r="H11" s="46">
        <f>SUM(D11,E11,F11,G11)</f>
        <v>17.97</v>
      </c>
      <c r="I11" s="49">
        <f>AVERAGE(D11,E11,F11,G11)</f>
        <v>5.99</v>
      </c>
      <c r="J11" s="9"/>
      <c r="K11" s="99">
        <v>1.0</v>
      </c>
      <c r="L11" s="51"/>
      <c r="M11" s="52">
        <f>I11*K11</f>
        <v>5.99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23">
        <v>5.0</v>
      </c>
      <c r="B12" s="97" t="s">
        <v>295</v>
      </c>
      <c r="C12" s="55"/>
      <c r="D12" s="56" t="s">
        <v>286</v>
      </c>
      <c r="E12" s="56" t="s">
        <v>287</v>
      </c>
      <c r="F12" s="33" t="s">
        <v>288</v>
      </c>
      <c r="G12" s="33"/>
      <c r="H12" s="34"/>
      <c r="I12" s="34"/>
      <c r="J12" s="9"/>
      <c r="K12" s="98"/>
      <c r="L12" s="89"/>
      <c r="M12" s="9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26"/>
      <c r="B13" s="41"/>
      <c r="C13" s="28"/>
      <c r="D13" s="124">
        <v>6.59</v>
      </c>
      <c r="E13" s="124">
        <v>6.59</v>
      </c>
      <c r="F13" s="43">
        <v>6.59</v>
      </c>
      <c r="G13" s="63"/>
      <c r="H13" s="46">
        <f>SUM(D13,E13,F13,G13)</f>
        <v>19.77</v>
      </c>
      <c r="I13" s="49">
        <f>AVERAGE(D13,E13,F13,G13)</f>
        <v>6.59</v>
      </c>
      <c r="J13" s="9"/>
      <c r="K13" s="99">
        <v>1.0</v>
      </c>
      <c r="L13" s="51"/>
      <c r="M13" s="52">
        <f>I13*K13</f>
        <v>6.59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25">
        <v>6.0</v>
      </c>
      <c r="B14" s="126" t="s">
        <v>296</v>
      </c>
      <c r="C14" s="127"/>
      <c r="D14" s="56" t="s">
        <v>286</v>
      </c>
      <c r="E14" s="56" t="s">
        <v>287</v>
      </c>
      <c r="F14" s="33" t="s">
        <v>288</v>
      </c>
      <c r="G14" s="33"/>
      <c r="H14" s="34"/>
      <c r="I14" s="34"/>
      <c r="J14" s="9"/>
      <c r="K14" s="98"/>
      <c r="L14" s="89"/>
      <c r="M14" s="96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28"/>
      <c r="B15" s="129"/>
      <c r="C15" s="130"/>
      <c r="D15" s="43">
        <v>6.59</v>
      </c>
      <c r="E15" s="43">
        <v>4.59</v>
      </c>
      <c r="F15" s="43">
        <v>7.09</v>
      </c>
      <c r="G15" s="63"/>
      <c r="H15" s="46">
        <f>SUM(D15,E15,F15,G15)</f>
        <v>18.27</v>
      </c>
      <c r="I15" s="49">
        <f>AVERAGE(D15,E15,F15,G15)</f>
        <v>6.09</v>
      </c>
      <c r="J15" s="9"/>
      <c r="K15" s="131">
        <v>1.0</v>
      </c>
      <c r="L15" s="87"/>
      <c r="M15" s="132">
        <f>I15*K15</f>
        <v>6.09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25">
        <v>7.0</v>
      </c>
      <c r="B16" s="133" t="s">
        <v>297</v>
      </c>
      <c r="C16" s="134"/>
      <c r="D16" s="56" t="s">
        <v>286</v>
      </c>
      <c r="E16" s="56" t="s">
        <v>287</v>
      </c>
      <c r="F16" s="33" t="s">
        <v>288</v>
      </c>
      <c r="G16" s="33"/>
      <c r="H16" s="34"/>
      <c r="I16" s="34"/>
      <c r="J16" s="9"/>
      <c r="K16" s="98"/>
      <c r="L16" s="89"/>
      <c r="M16" s="9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28"/>
      <c r="B17" s="129"/>
      <c r="C17" s="130"/>
      <c r="D17" s="43"/>
      <c r="E17" s="43"/>
      <c r="F17" s="43"/>
      <c r="G17" s="63"/>
      <c r="H17" s="46">
        <f>SUM(D17,E17,F17,G17)</f>
        <v>0</v>
      </c>
      <c r="I17" s="49" t="str">
        <f>AVERAGE(D17,E17,F17,G17)</f>
        <v>#DIV/0!</v>
      </c>
      <c r="J17" s="9"/>
      <c r="K17" s="131">
        <v>1.0</v>
      </c>
      <c r="L17" s="87"/>
      <c r="M17" s="132" t="str">
        <f>I17*K17</f>
        <v>#DIV/0!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25">
        <v>8.0</v>
      </c>
      <c r="B18" s="133" t="s">
        <v>298</v>
      </c>
      <c r="C18" s="134"/>
      <c r="D18" s="56" t="s">
        <v>286</v>
      </c>
      <c r="E18" s="56" t="s">
        <v>287</v>
      </c>
      <c r="F18" s="33" t="s">
        <v>288</v>
      </c>
      <c r="G18" s="33"/>
      <c r="H18" s="34"/>
      <c r="I18" s="34"/>
      <c r="J18" s="9"/>
      <c r="K18" s="98"/>
      <c r="L18" s="89"/>
      <c r="M18" s="9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28"/>
      <c r="B19" s="129"/>
      <c r="C19" s="130"/>
      <c r="D19" s="43">
        <v>6.59</v>
      </c>
      <c r="E19" s="43">
        <v>4.49</v>
      </c>
      <c r="F19" s="43">
        <v>6.99</v>
      </c>
      <c r="G19" s="63"/>
      <c r="H19" s="46">
        <f>SUM(D19,E19,F19,G19)</f>
        <v>18.07</v>
      </c>
      <c r="I19" s="49">
        <f>AVERAGE(D19,E19,F19,G19)</f>
        <v>6.023333333</v>
      </c>
      <c r="J19" s="9"/>
      <c r="K19" s="131">
        <v>1.0</v>
      </c>
      <c r="L19" s="87"/>
      <c r="M19" s="132">
        <f>I19*K19</f>
        <v>6.023333333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25">
        <v>9.0</v>
      </c>
      <c r="B20" s="133" t="s">
        <v>299</v>
      </c>
      <c r="C20" s="134"/>
      <c r="D20" s="56" t="s">
        <v>286</v>
      </c>
      <c r="E20" s="56" t="s">
        <v>287</v>
      </c>
      <c r="F20" s="33" t="s">
        <v>288</v>
      </c>
      <c r="G20" s="33"/>
      <c r="H20" s="34"/>
      <c r="I20" s="34"/>
      <c r="J20" s="9"/>
      <c r="K20" s="98"/>
      <c r="L20" s="89"/>
      <c r="M20" s="9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28"/>
      <c r="B21" s="135"/>
      <c r="C21" s="136"/>
      <c r="D21" s="43">
        <v>6.59</v>
      </c>
      <c r="E21" s="43">
        <v>4.55</v>
      </c>
      <c r="F21" s="43">
        <v>6.95</v>
      </c>
      <c r="G21" s="63"/>
      <c r="H21" s="46">
        <f>SUM(D21,E21,F21,G21)</f>
        <v>18.09</v>
      </c>
      <c r="I21" s="49">
        <f>AVERAGE(D23,E23,F23,G23)</f>
        <v>6.03</v>
      </c>
      <c r="J21" s="9"/>
      <c r="K21" s="131">
        <v>1.0</v>
      </c>
      <c r="L21" s="87"/>
      <c r="M21" s="132">
        <f>I23*K23</f>
        <v>6.03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37">
        <v>10.0</v>
      </c>
      <c r="B22" s="126" t="s">
        <v>300</v>
      </c>
      <c r="C22" s="127"/>
      <c r="D22" s="56" t="s">
        <v>286</v>
      </c>
      <c r="E22" s="56" t="s">
        <v>287</v>
      </c>
      <c r="F22" s="33" t="s">
        <v>288</v>
      </c>
      <c r="G22" s="33"/>
      <c r="H22" s="34"/>
      <c r="I22" s="34"/>
      <c r="J22" s="9"/>
      <c r="K22" s="98"/>
      <c r="L22" s="89"/>
      <c r="M22" s="9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38"/>
      <c r="B23" s="135"/>
      <c r="C23" s="136"/>
      <c r="D23" s="124">
        <v>6.59</v>
      </c>
      <c r="E23" s="124">
        <v>4.55</v>
      </c>
      <c r="F23" s="43">
        <v>6.95</v>
      </c>
      <c r="G23" s="63"/>
      <c r="H23" s="46">
        <f>SUM(D23,E23,F23,G23)</f>
        <v>18.09</v>
      </c>
      <c r="I23" s="49">
        <f>AVERAGE(D23,E23,F23,G23)</f>
        <v>6.03</v>
      </c>
      <c r="J23" s="9"/>
      <c r="K23" s="131">
        <v>1.0</v>
      </c>
      <c r="L23" s="87"/>
      <c r="M23" s="132">
        <f>I23*K23</f>
        <v>6.03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37">
        <v>11.0</v>
      </c>
      <c r="B24" s="126" t="s">
        <v>301</v>
      </c>
      <c r="C24" s="127"/>
      <c r="D24" s="56" t="s">
        <v>286</v>
      </c>
      <c r="E24" s="56" t="s">
        <v>287</v>
      </c>
      <c r="F24" s="33" t="s">
        <v>288</v>
      </c>
      <c r="G24" s="33"/>
      <c r="H24" s="34"/>
      <c r="I24" s="34"/>
      <c r="J24" s="9"/>
      <c r="K24" s="98"/>
      <c r="L24" s="89"/>
      <c r="M24" s="9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38"/>
      <c r="B25" s="135"/>
      <c r="C25" s="136"/>
      <c r="D25" s="43">
        <v>6.59</v>
      </c>
      <c r="E25" s="43">
        <v>4.49</v>
      </c>
      <c r="F25" s="43">
        <v>6.95</v>
      </c>
      <c r="G25" s="63"/>
      <c r="H25" s="46">
        <f>SUM(D25,E25,F25,G25)</f>
        <v>18.03</v>
      </c>
      <c r="I25" s="49">
        <f>AVERAGE(D25,E25,F25,G25)</f>
        <v>6.01</v>
      </c>
      <c r="J25" s="9"/>
      <c r="K25" s="131">
        <v>1.0</v>
      </c>
      <c r="L25" s="87"/>
      <c r="M25" s="132">
        <f>I25*K25</f>
        <v>6.01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37">
        <v>12.0</v>
      </c>
      <c r="B26" s="126" t="s">
        <v>302</v>
      </c>
      <c r="C26" s="127"/>
      <c r="D26" s="56" t="s">
        <v>286</v>
      </c>
      <c r="E26" s="56" t="s">
        <v>287</v>
      </c>
      <c r="F26" s="33" t="s">
        <v>288</v>
      </c>
      <c r="G26" s="33"/>
      <c r="H26" s="34"/>
      <c r="I26" s="34"/>
      <c r="J26" s="9"/>
      <c r="K26" s="98"/>
      <c r="L26" s="89"/>
      <c r="M26" s="9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38"/>
      <c r="B27" s="135"/>
      <c r="C27" s="136"/>
      <c r="D27" s="43">
        <v>6.59</v>
      </c>
      <c r="E27" s="43">
        <v>4.49</v>
      </c>
      <c r="F27" s="43">
        <v>6.95</v>
      </c>
      <c r="G27" s="63"/>
      <c r="H27" s="46">
        <f>SUM(D27,E27,F27,G27)</f>
        <v>18.03</v>
      </c>
      <c r="I27" s="49">
        <f>AVERAGE(D27,E27,F27,G27)</f>
        <v>6.01</v>
      </c>
      <c r="J27" s="9"/>
      <c r="K27" s="131">
        <v>1.0</v>
      </c>
      <c r="L27" s="87"/>
      <c r="M27" s="132">
        <f>I27*K27</f>
        <v>6.01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8" t="s">
        <v>115</v>
      </c>
      <c r="B28" s="10"/>
      <c r="C28" s="10"/>
      <c r="D28" s="10"/>
      <c r="E28" s="10"/>
      <c r="F28" s="10"/>
      <c r="G28" s="10"/>
      <c r="H28" s="139"/>
      <c r="I28" s="140">
        <f>SUM(I4:I13)</f>
        <v>30.61666667</v>
      </c>
      <c r="J28" s="141"/>
      <c r="K28" s="142" t="s">
        <v>9</v>
      </c>
      <c r="L28" s="143"/>
      <c r="M28" s="144">
        <f>SUM(M4:M13)</f>
        <v>30.61666667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306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14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18.9</v>
      </c>
      <c r="E4" s="43">
        <v>15.9</v>
      </c>
      <c r="F4" s="43">
        <v>22.8</v>
      </c>
      <c r="G4" s="46">
        <f>SUM(D4,E4,F4)</f>
        <v>57.6</v>
      </c>
      <c r="H4" s="49">
        <f>AVERAGE(D4,E4,F4)</f>
        <v>19.2</v>
      </c>
      <c r="I4" s="36"/>
      <c r="J4" s="50">
        <v>0.6</v>
      </c>
      <c r="K4" s="51" t="s">
        <v>15</v>
      </c>
      <c r="L4" s="52">
        <f>H4*J4</f>
        <v>11.52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6" t="s">
        <v>6</v>
      </c>
      <c r="E5" s="57" t="s">
        <v>48</v>
      </c>
      <c r="F5" s="32" t="s">
        <v>19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8.99</v>
      </c>
      <c r="E6" s="43">
        <v>8.99</v>
      </c>
      <c r="F6" s="43">
        <v>6.97</v>
      </c>
      <c r="G6" s="46">
        <f>SUM(D6,E6,F6)</f>
        <v>24.95</v>
      </c>
      <c r="H6" s="49">
        <f>AVERAGE(D6,E6,F6)</f>
        <v>8.316666667</v>
      </c>
      <c r="I6" s="36"/>
      <c r="J6" s="50">
        <v>4.0</v>
      </c>
      <c r="K6" s="51"/>
      <c r="L6" s="52">
        <f>H6*J6</f>
        <v>33.26666667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7" t="s">
        <v>307</v>
      </c>
      <c r="E7" s="56" t="s">
        <v>25</v>
      </c>
      <c r="F7" s="32" t="s">
        <v>308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11.48</v>
      </c>
      <c r="E8" s="43">
        <v>11.48</v>
      </c>
      <c r="F8" s="43">
        <v>11.48</v>
      </c>
      <c r="G8" s="46">
        <f>SUM(D8,E8,F8)</f>
        <v>34.44</v>
      </c>
      <c r="H8" s="49">
        <f>AVERAGE(D8,E8,F8)</f>
        <v>11.48</v>
      </c>
      <c r="I8" s="36"/>
      <c r="J8" s="50">
        <v>0.6</v>
      </c>
      <c r="K8" s="51"/>
      <c r="L8" s="52">
        <f>H8*J8</f>
        <v>6.888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3" t="s">
        <v>31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26.9</v>
      </c>
      <c r="E10" s="43">
        <v>24.9</v>
      </c>
      <c r="F10" s="43">
        <v>19.9</v>
      </c>
      <c r="G10" s="46">
        <f>SUM(D10,E10,F10)</f>
        <v>71.7</v>
      </c>
      <c r="H10" s="49">
        <f>AVERAGE(D10,E10,F10)</f>
        <v>23.9</v>
      </c>
      <c r="I10" s="36"/>
      <c r="J10" s="50">
        <v>1.2</v>
      </c>
      <c r="K10" s="51"/>
      <c r="L10" s="52">
        <f>H10*J10</f>
        <v>28.68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7" t="s">
        <v>309</v>
      </c>
      <c r="E11" s="57" t="s">
        <v>310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3.59</v>
      </c>
      <c r="E12" s="43">
        <v>2.79</v>
      </c>
      <c r="F12" s="43">
        <v>4.99</v>
      </c>
      <c r="G12" s="46">
        <f>SUM(D12,E12,F12)</f>
        <v>11.37</v>
      </c>
      <c r="H12" s="49">
        <f>AVERAGE(D12,E12,F12)</f>
        <v>3.79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6" t="s">
        <v>39</v>
      </c>
      <c r="E13" s="57" t="s">
        <v>311</v>
      </c>
      <c r="F13" s="32" t="s">
        <v>312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4.59</v>
      </c>
      <c r="E14" s="43">
        <v>4.19</v>
      </c>
      <c r="F14" s="43">
        <v>4.29</v>
      </c>
      <c r="G14" s="46">
        <f>SUM(D14,E14,F14)</f>
        <v>13.07</v>
      </c>
      <c r="H14" s="49">
        <f>AVERAGE(D14,E14,F14)</f>
        <v>4.356666667</v>
      </c>
      <c r="I14" s="36"/>
      <c r="J14" s="50">
        <v>1.0</v>
      </c>
      <c r="K14" s="51"/>
      <c r="L14" s="52">
        <f>H14*J14</f>
        <v>4.356666667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6" t="s">
        <v>45</v>
      </c>
      <c r="E15" s="56" t="s">
        <v>46</v>
      </c>
      <c r="F15" s="32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8.98</v>
      </c>
      <c r="E16" s="63"/>
      <c r="F16" s="63"/>
      <c r="G16" s="46">
        <f>SUM(D16,E16,F16)</f>
        <v>8.98</v>
      </c>
      <c r="H16" s="49">
        <f>AVERAGE(D16,E16,F16)</f>
        <v>8.98</v>
      </c>
      <c r="I16" s="36"/>
      <c r="J16" s="50">
        <v>6.0</v>
      </c>
      <c r="K16" s="51"/>
      <c r="L16" s="52">
        <f>H16*J16</f>
        <v>53.88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4.98</v>
      </c>
      <c r="E18" s="63"/>
      <c r="F18" s="63"/>
      <c r="G18" s="46">
        <f>SUM(D18,E18,F18)</f>
        <v>4.98</v>
      </c>
      <c r="H18" s="49">
        <f>AVERAGE(D18,E18,F18)</f>
        <v>4.98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9.98</v>
      </c>
      <c r="E20" s="63"/>
      <c r="F20" s="63"/>
      <c r="G20" s="46">
        <f>SUM(D20,E20,F20)</f>
        <v>9.98</v>
      </c>
      <c r="H20" s="49">
        <f>AVERAGE(D20,E20,F20)</f>
        <v>9.98</v>
      </c>
      <c r="I20" s="36"/>
      <c r="J20" s="50">
        <v>9.0</v>
      </c>
      <c r="K20" s="51"/>
      <c r="L20" s="52">
        <f>H20*J20</f>
        <v>89.82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6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15.99</v>
      </c>
      <c r="E22" s="63"/>
      <c r="F22" s="63"/>
      <c r="G22" s="46">
        <f>SUM(D22,E22,F22)</f>
        <v>15.99</v>
      </c>
      <c r="H22" s="49">
        <f>AVERAGE(D22,E22,F22)</f>
        <v>15.99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11.98</v>
      </c>
      <c r="E24" s="43">
        <v>11.98</v>
      </c>
      <c r="F24" s="63"/>
      <c r="G24" s="46">
        <f>SUM(D24,E24,F24)</f>
        <v>23.96</v>
      </c>
      <c r="H24" s="49">
        <f>AVERAGE(D24,E24,F24)</f>
        <v>11.98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7" t="s">
        <v>92</v>
      </c>
      <c r="F25" s="32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5.48</v>
      </c>
      <c r="E26" s="43">
        <v>5.13</v>
      </c>
      <c r="F26" s="43">
        <v>4.78</v>
      </c>
      <c r="G26" s="46">
        <f>SUM(D26,E26,F26)</f>
        <v>15.39</v>
      </c>
      <c r="H26" s="49">
        <f>AVERAGE(D26,E26,F26)</f>
        <v>5.13</v>
      </c>
      <c r="I26" s="9"/>
      <c r="J26" s="50">
        <v>3.0</v>
      </c>
      <c r="K26" s="51"/>
      <c r="L26" s="52">
        <f>H26*J26</f>
        <v>15.39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54" t="s">
        <v>64</v>
      </c>
      <c r="C27" s="55"/>
      <c r="D27" s="57" t="s">
        <v>313</v>
      </c>
      <c r="E27" s="57" t="s">
        <v>101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1.98</v>
      </c>
      <c r="E28" s="43">
        <v>5.99</v>
      </c>
      <c r="F28" s="43">
        <v>3.99</v>
      </c>
      <c r="G28" s="46">
        <f>SUM(D28,E28,F28)</f>
        <v>11.96</v>
      </c>
      <c r="H28" s="49">
        <f>AVERAGE(D28,E28,F28)</f>
        <v>3.986666667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97" t="s">
        <v>314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11.98</v>
      </c>
      <c r="E30" s="63"/>
      <c r="F30" s="63"/>
      <c r="G30" s="46">
        <f>SUM(D30,E30,F30)</f>
        <v>11.98</v>
      </c>
      <c r="H30" s="49">
        <f>AVERAGE(D30,E30,F30)</f>
        <v>11.98</v>
      </c>
      <c r="I30" s="9"/>
      <c r="J30" s="50">
        <v>6.0</v>
      </c>
      <c r="K30" s="51"/>
      <c r="L30" s="52">
        <f>H30*J30</f>
        <v>71.88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7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5.98</v>
      </c>
      <c r="E32" s="43">
        <v>3.98</v>
      </c>
      <c r="F32" s="63"/>
      <c r="G32" s="46">
        <f>SUM(D32,E32,F32)</f>
        <v>9.96</v>
      </c>
      <c r="H32" s="49">
        <f>AVERAGE(D32,E32,F32)</f>
        <v>4.98</v>
      </c>
      <c r="I32" s="9"/>
      <c r="J32" s="50">
        <v>7.5</v>
      </c>
      <c r="K32" s="51"/>
      <c r="L32" s="52">
        <f>H32*J32</f>
        <v>37.35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7" t="s">
        <v>203</v>
      </c>
      <c r="E33" s="57" t="s">
        <v>77</v>
      </c>
      <c r="F33" s="33" t="s">
        <v>78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6.38</v>
      </c>
      <c r="E34" s="43">
        <v>6.38</v>
      </c>
      <c r="F34" s="43">
        <v>6.38</v>
      </c>
      <c r="G34" s="46">
        <f>SUM(D34,E34,F34)</f>
        <v>19.14</v>
      </c>
      <c r="H34" s="49">
        <f>AVERAGE(D34,E34,F34)</f>
        <v>6.38</v>
      </c>
      <c r="I34" s="9"/>
      <c r="J34" s="50">
        <v>0.83</v>
      </c>
      <c r="K34" s="51"/>
      <c r="L34" s="52">
        <f>H34*J34</f>
        <v>5.2954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6" t="s">
        <v>80</v>
      </c>
      <c r="E35" s="56" t="s">
        <v>81</v>
      </c>
      <c r="F35" s="32" t="s">
        <v>125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5.58</v>
      </c>
      <c r="E36" s="43">
        <v>5.08</v>
      </c>
      <c r="F36" s="43">
        <v>4.28</v>
      </c>
      <c r="G36" s="46">
        <f>SUM(D36,E36,F36)</f>
        <v>14.94</v>
      </c>
      <c r="H36" s="49">
        <f>AVERAGE(D36,E36,F36)</f>
        <v>4.98</v>
      </c>
      <c r="I36" s="9"/>
      <c r="J36" s="50">
        <v>7.5</v>
      </c>
      <c r="K36" s="51"/>
      <c r="L36" s="52">
        <f>H36*J36</f>
        <v>37.35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265</v>
      </c>
      <c r="F37" s="32" t="s">
        <v>125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16.49</v>
      </c>
      <c r="E38" s="43">
        <v>14.99</v>
      </c>
      <c r="F38" s="43">
        <v>15.99</v>
      </c>
      <c r="G38" s="46">
        <f>SUM(D38,E38,F38)</f>
        <v>47.47</v>
      </c>
      <c r="H38" s="49">
        <f>AVERAGE(D38,E38,F38)</f>
        <v>15.82333333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6" t="s">
        <v>65</v>
      </c>
      <c r="E39" s="57" t="s">
        <v>86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3.19</v>
      </c>
      <c r="E40" s="43">
        <v>2.79</v>
      </c>
      <c r="F40" s="43">
        <v>4.29</v>
      </c>
      <c r="G40" s="46">
        <f>SUM(D40,E40,F40)</f>
        <v>10.27</v>
      </c>
      <c r="H40" s="49">
        <f>AVERAGE(D40,E40,F40)</f>
        <v>3.423333333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7" t="s">
        <v>315</v>
      </c>
      <c r="E41" s="56" t="s">
        <v>90</v>
      </c>
      <c r="F41" s="32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>
        <v>3.19</v>
      </c>
      <c r="E42" s="43">
        <v>2.19</v>
      </c>
      <c r="F42" s="43">
        <v>2.98</v>
      </c>
      <c r="G42" s="46">
        <f>SUM(D42,E42,F42)</f>
        <v>8.36</v>
      </c>
      <c r="H42" s="49">
        <f>AVERAGE(D42,E42,F42)</f>
        <v>2.786666667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6" t="s">
        <v>95</v>
      </c>
      <c r="E43" s="56" t="s">
        <v>96</v>
      </c>
      <c r="F43" s="32" t="s">
        <v>316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43.43</v>
      </c>
      <c r="E44" s="43">
        <v>39.9</v>
      </c>
      <c r="F44" s="43">
        <v>39.9</v>
      </c>
      <c r="G44" s="46">
        <f>SUM(D44,E44,F44)</f>
        <v>123.23</v>
      </c>
      <c r="H44" s="49">
        <f>AVERAGE(D44,E44,F44)</f>
        <v>41.07666667</v>
      </c>
      <c r="I44" s="9"/>
      <c r="J44" s="50">
        <v>3.0</v>
      </c>
      <c r="K44" s="51"/>
      <c r="L44" s="52">
        <f>H44*J44</f>
        <v>123.23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6" t="s">
        <v>100</v>
      </c>
      <c r="E45" s="56" t="s">
        <v>102</v>
      </c>
      <c r="F45" s="32" t="s">
        <v>148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>
        <v>38.9</v>
      </c>
      <c r="E46" s="43">
        <v>27.9</v>
      </c>
      <c r="F46" s="43">
        <v>37.9</v>
      </c>
      <c r="G46" s="46">
        <f>SUM(D46,E46,F46)</f>
        <v>104.7</v>
      </c>
      <c r="H46" s="49">
        <f>AVERAGE(D46,E46,F46)</f>
        <v>34.9</v>
      </c>
      <c r="I46" s="9"/>
      <c r="J46" s="50">
        <v>3.0</v>
      </c>
      <c r="K46" s="51"/>
      <c r="L46" s="52">
        <f>H46*J46</f>
        <v>104.7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97" t="s">
        <v>317</v>
      </c>
      <c r="C47" s="55"/>
      <c r="D47" s="57" t="s">
        <v>318</v>
      </c>
      <c r="E47" s="57" t="s">
        <v>241</v>
      </c>
      <c r="F47" s="32" t="s">
        <v>319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18.48</v>
      </c>
      <c r="E48" s="43">
        <v>18.9</v>
      </c>
      <c r="F48" s="43">
        <v>18.69</v>
      </c>
      <c r="G48" s="46">
        <f>SUM(D48,E48,F48)</f>
        <v>56.07</v>
      </c>
      <c r="H48" s="49">
        <f>AVERAGE(D48,E48,F48)</f>
        <v>18.69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7" t="s">
        <v>126</v>
      </c>
      <c r="E49" s="57" t="s">
        <v>241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>
        <v>11.98</v>
      </c>
      <c r="E50" s="43">
        <v>9.63</v>
      </c>
      <c r="F50" s="43">
        <v>14.95</v>
      </c>
      <c r="G50" s="46">
        <f>SUM(D50,E50,F50)</f>
        <v>36.56</v>
      </c>
      <c r="H50" s="49">
        <f>AVERAGE(D50,E50,F50)</f>
        <v>12.18666667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240</v>
      </c>
      <c r="E51" s="56" t="s">
        <v>106</v>
      </c>
      <c r="F51" s="32" t="s">
        <v>259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13.48</v>
      </c>
      <c r="E52" s="43">
        <v>13.98</v>
      </c>
      <c r="F52" s="43">
        <v>15.9</v>
      </c>
      <c r="G52" s="46">
        <f>SUM(D52,E52,F52)</f>
        <v>43.36</v>
      </c>
      <c r="H52" s="49">
        <f>AVERAGE(D52,E52,F52)</f>
        <v>14.45333333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7" t="s">
        <v>320</v>
      </c>
      <c r="E53" s="57" t="s">
        <v>265</v>
      </c>
      <c r="F53" s="32" t="s">
        <v>321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>
        <v>33.98</v>
      </c>
      <c r="E54" s="43">
        <v>37.98</v>
      </c>
      <c r="F54" s="43">
        <v>34.98</v>
      </c>
      <c r="G54" s="46">
        <f>SUM(D54,E54,F54)</f>
        <v>106.94</v>
      </c>
      <c r="H54" s="49">
        <f>AVERAGE(D54,E54,F54)</f>
        <v>35.64666667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>
        <f>SUM(H4:H54)</f>
        <v>339.3766667</v>
      </c>
      <c r="I55" s="92"/>
      <c r="J55" s="93" t="s">
        <v>9</v>
      </c>
      <c r="K55" s="90"/>
      <c r="L55" s="94">
        <f>SUM(L4:L54)</f>
        <v>623.6067333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6" t="s">
        <v>120</v>
      </c>
      <c r="F57" s="32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5.98</v>
      </c>
      <c r="E58" s="43">
        <v>5.98</v>
      </c>
      <c r="F58" s="43">
        <v>5.98</v>
      </c>
      <c r="G58" s="46">
        <f>SUM(D58,E58,F58)</f>
        <v>17.94</v>
      </c>
      <c r="H58" s="49">
        <f>AVERAGE(D58,E58,F58)</f>
        <v>5.98</v>
      </c>
      <c r="I58" s="9"/>
      <c r="J58" s="99">
        <v>4.0</v>
      </c>
      <c r="K58" s="51"/>
      <c r="L58" s="52">
        <f>H58*J58</f>
        <v>23.92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6" t="s">
        <v>123</v>
      </c>
      <c r="E59" s="57" t="s">
        <v>168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4.98</v>
      </c>
      <c r="E60" s="43">
        <v>2.95</v>
      </c>
      <c r="F60" s="63"/>
      <c r="G60" s="46">
        <f>SUM(D60,E60,F60)</f>
        <v>7.93</v>
      </c>
      <c r="H60" s="49">
        <f>AVERAGE(D60,E60,F60)</f>
        <v>3.965</v>
      </c>
      <c r="I60" s="9"/>
      <c r="J60" s="99">
        <v>15.0</v>
      </c>
      <c r="K60" s="51"/>
      <c r="L60" s="52">
        <f>H60*J60</f>
        <v>59.475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170</v>
      </c>
      <c r="F61" s="32" t="s">
        <v>169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4.17</v>
      </c>
      <c r="E62" s="43">
        <v>3.95</v>
      </c>
      <c r="F62" s="43">
        <v>4.39</v>
      </c>
      <c r="G62" s="46">
        <f>SUM(D62,E62,F62)</f>
        <v>12.51</v>
      </c>
      <c r="H62" s="49">
        <f>AVERAGE(D62,E62,F62)</f>
        <v>4.17</v>
      </c>
      <c r="I62" s="9"/>
      <c r="J62" s="99">
        <v>2.0</v>
      </c>
      <c r="K62" s="51"/>
      <c r="L62" s="52">
        <f>H62*J62</f>
        <v>8.34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6" t="s">
        <v>124</v>
      </c>
      <c r="F63" s="33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2.49</v>
      </c>
      <c r="E64" s="43">
        <v>2.39</v>
      </c>
      <c r="F64" s="43">
        <v>2.29</v>
      </c>
      <c r="G64" s="46">
        <f>SUM(D64,E64,F64)</f>
        <v>7.17</v>
      </c>
      <c r="H64" s="49">
        <f>AVERAGE(D64,E64,F64)</f>
        <v>2.39</v>
      </c>
      <c r="I64" s="9"/>
      <c r="J64" s="99">
        <v>2.0</v>
      </c>
      <c r="K64" s="51"/>
      <c r="L64" s="52">
        <f>H64*J64</f>
        <v>4.78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16.505</v>
      </c>
      <c r="I65" s="92"/>
      <c r="J65" s="93" t="s">
        <v>9</v>
      </c>
      <c r="K65" s="90"/>
      <c r="L65" s="94">
        <f>SUM(L57:L64)</f>
        <v>96.515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251</v>
      </c>
      <c r="E67" s="57" t="s">
        <v>322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>
        <v>6.98</v>
      </c>
      <c r="E68" s="43">
        <v>4.28</v>
      </c>
      <c r="F68" s="43">
        <v>5.63</v>
      </c>
      <c r="G68" s="46">
        <f>SUM(D68,E68,F68)</f>
        <v>16.89</v>
      </c>
      <c r="H68" s="49">
        <f>AVERAGE(D68,E68,F68)</f>
        <v>5.63</v>
      </c>
      <c r="I68" s="9"/>
      <c r="J68" s="99">
        <v>3.0</v>
      </c>
      <c r="K68" s="51"/>
      <c r="L68" s="52">
        <f>H68*J68</f>
        <v>16.89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97" t="s">
        <v>323</v>
      </c>
      <c r="C69" s="55"/>
      <c r="D69" s="56" t="s">
        <v>160</v>
      </c>
      <c r="E69" s="56" t="s">
        <v>142</v>
      </c>
      <c r="F69" s="32" t="s">
        <v>226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7.49</v>
      </c>
      <c r="E70" s="43">
        <v>4.29</v>
      </c>
      <c r="F70" s="43">
        <v>3.49</v>
      </c>
      <c r="G70" s="46">
        <f>SUM(D70,E70,F70)</f>
        <v>15.27</v>
      </c>
      <c r="H70" s="49">
        <f>AVERAGE(D70,E70,F70)</f>
        <v>5.09</v>
      </c>
      <c r="I70" s="9"/>
      <c r="J70" s="99">
        <v>2.0</v>
      </c>
      <c r="K70" s="51"/>
      <c r="L70" s="52">
        <f>H70*J70</f>
        <v>10.18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97" t="s">
        <v>244</v>
      </c>
      <c r="C71" s="55"/>
      <c r="D71" s="56" t="s">
        <v>145</v>
      </c>
      <c r="E71" s="56" t="s">
        <v>146</v>
      </c>
      <c r="F71" s="32" t="s">
        <v>324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2.98</v>
      </c>
      <c r="E72" s="43">
        <v>2.98</v>
      </c>
      <c r="F72" s="43">
        <v>1.49</v>
      </c>
      <c r="G72" s="46">
        <f>SUM(D72,E72,F72)</f>
        <v>7.45</v>
      </c>
      <c r="H72" s="49">
        <f>AVERAGE(D72,E72,F72)</f>
        <v>2.483333333</v>
      </c>
      <c r="I72" s="9"/>
      <c r="J72" s="99">
        <v>10.0</v>
      </c>
      <c r="K72" s="51"/>
      <c r="L72" s="52">
        <f>H72*J72</f>
        <v>24.83333333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325</v>
      </c>
      <c r="E73" s="57" t="s">
        <v>151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9.9</v>
      </c>
      <c r="E74" s="43">
        <v>11.9</v>
      </c>
      <c r="F74" s="63"/>
      <c r="G74" s="46">
        <f>SUM(D74,E74,F74)</f>
        <v>21.8</v>
      </c>
      <c r="H74" s="49">
        <f>AVERAGE(D74,E74,F74)</f>
        <v>10.9</v>
      </c>
      <c r="I74" s="9"/>
      <c r="J74" s="99">
        <v>2.0</v>
      </c>
      <c r="K74" s="51"/>
      <c r="L74" s="52">
        <f>H74*J74</f>
        <v>21.8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7" t="s">
        <v>305</v>
      </c>
      <c r="F75" s="32"/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/>
      <c r="E76" s="43">
        <v>10.98</v>
      </c>
      <c r="F76" s="43"/>
      <c r="G76" s="46">
        <f>SUM(D76,E76,F76)</f>
        <v>10.98</v>
      </c>
      <c r="H76" s="49">
        <f>AVERAGE(D76,E76,F76)</f>
        <v>10.98</v>
      </c>
      <c r="I76" s="9"/>
      <c r="J76" s="99">
        <v>1.0</v>
      </c>
      <c r="K76" s="51"/>
      <c r="L76" s="52">
        <f>H76*J76</f>
        <v>10.98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35.08333333</v>
      </c>
      <c r="I77" s="92"/>
      <c r="J77" s="93" t="s">
        <v>9</v>
      </c>
      <c r="K77" s="90"/>
      <c r="L77" s="102">
        <f>SUM(L68:L76)</f>
        <v>84.68333333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390.965</v>
      </c>
      <c r="I80" s="9"/>
      <c r="J80" s="9"/>
      <c r="K80" s="107" t="s">
        <v>9</v>
      </c>
      <c r="L80" s="102">
        <f>L55+L65+L77</f>
        <v>804.8050667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326</v>
      </c>
      <c r="B2" s="18"/>
      <c r="C2" s="18"/>
      <c r="D2" s="18"/>
      <c r="E2" s="20"/>
      <c r="F2" s="22" t="s">
        <v>1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9">
        <v>1.0</v>
      </c>
      <c r="B3" s="31" t="s">
        <v>5</v>
      </c>
      <c r="C3" s="19"/>
      <c r="D3" s="33" t="s">
        <v>6</v>
      </c>
      <c r="E3" s="33" t="s">
        <v>7</v>
      </c>
      <c r="F3" s="32" t="s">
        <v>191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7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1"/>
      <c r="C4" s="28"/>
      <c r="D4" s="43">
        <v>20.99</v>
      </c>
      <c r="E4" s="43">
        <v>20.99</v>
      </c>
      <c r="F4" s="43"/>
      <c r="G4" s="46">
        <f>SUM(D4,E4,F4)</f>
        <v>41.98</v>
      </c>
      <c r="H4" s="49">
        <f>AVERAGE(D4,E4,F4)</f>
        <v>20.99</v>
      </c>
      <c r="I4" s="36"/>
      <c r="J4" s="50">
        <v>0.6</v>
      </c>
      <c r="K4" s="51" t="s">
        <v>15</v>
      </c>
      <c r="L4" s="52">
        <f>H4*J4</f>
        <v>12.594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3">
        <f>A3+1</f>
        <v>2</v>
      </c>
      <c r="B5" s="54" t="s">
        <v>16</v>
      </c>
      <c r="C5" s="55"/>
      <c r="D5" s="57" t="s">
        <v>6</v>
      </c>
      <c r="E5" s="56" t="s">
        <v>17</v>
      </c>
      <c r="F5" s="32" t="s">
        <v>327</v>
      </c>
      <c r="G5" s="34"/>
      <c r="H5" s="34"/>
      <c r="I5" s="58"/>
      <c r="J5" s="59"/>
      <c r="K5" s="60"/>
      <c r="L5" s="61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1"/>
      <c r="C6" s="28"/>
      <c r="D6" s="43">
        <v>8.95</v>
      </c>
      <c r="E6" s="63"/>
      <c r="F6" s="43">
        <v>10.68</v>
      </c>
      <c r="G6" s="46">
        <f>SUM(D6,E6,F6)</f>
        <v>19.63</v>
      </c>
      <c r="H6" s="49">
        <f>AVERAGE(D6,E6,F6)</f>
        <v>9.815</v>
      </c>
      <c r="I6" s="36"/>
      <c r="J6" s="50">
        <v>4.0</v>
      </c>
      <c r="K6" s="51"/>
      <c r="L6" s="52">
        <f>H6*J6</f>
        <v>39.26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3">
        <f>A5+1</f>
        <v>3</v>
      </c>
      <c r="B7" s="54" t="s">
        <v>23</v>
      </c>
      <c r="C7" s="55"/>
      <c r="D7" s="56" t="s">
        <v>24</v>
      </c>
      <c r="E7" s="57" t="s">
        <v>328</v>
      </c>
      <c r="F7" s="33" t="s">
        <v>26</v>
      </c>
      <c r="G7" s="34"/>
      <c r="H7" s="34"/>
      <c r="I7" s="58"/>
      <c r="J7" s="59"/>
      <c r="K7" s="60"/>
      <c r="L7" s="61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1"/>
      <c r="C8" s="28"/>
      <c r="D8" s="43">
        <v>12.75</v>
      </c>
      <c r="E8" s="43">
        <v>17.99</v>
      </c>
      <c r="F8" s="63"/>
      <c r="G8" s="46">
        <f>SUM(D8,E8,F8)</f>
        <v>30.74</v>
      </c>
      <c r="H8" s="49">
        <f>AVERAGE(D8,E8,F8)</f>
        <v>15.37</v>
      </c>
      <c r="I8" s="36"/>
      <c r="J8" s="50">
        <v>0.6</v>
      </c>
      <c r="K8" s="51"/>
      <c r="L8" s="52">
        <f>H8*J8</f>
        <v>9.222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3">
        <f>A7+1</f>
        <v>4</v>
      </c>
      <c r="B9" s="54" t="s">
        <v>28</v>
      </c>
      <c r="C9" s="55"/>
      <c r="D9" s="56" t="s">
        <v>29</v>
      </c>
      <c r="E9" s="56" t="s">
        <v>30</v>
      </c>
      <c r="F9" s="32" t="s">
        <v>329</v>
      </c>
      <c r="G9" s="34"/>
      <c r="H9" s="34"/>
      <c r="I9" s="58"/>
      <c r="J9" s="59"/>
      <c r="K9" s="60"/>
      <c r="L9" s="61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1"/>
      <c r="C10" s="28"/>
      <c r="D10" s="43">
        <v>27.9</v>
      </c>
      <c r="E10" s="43">
        <v>15.49</v>
      </c>
      <c r="F10" s="43"/>
      <c r="G10" s="46">
        <f>SUM(D10,E10,F10)</f>
        <v>43.39</v>
      </c>
      <c r="H10" s="49">
        <f>AVERAGE(D10,E10,F10)</f>
        <v>21.695</v>
      </c>
      <c r="I10" s="36"/>
      <c r="J10" s="50">
        <v>1.2</v>
      </c>
      <c r="K10" s="51"/>
      <c r="L10" s="52">
        <f>H10*J10</f>
        <v>26.034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3">
        <f>A9+1</f>
        <v>5</v>
      </c>
      <c r="B11" s="54" t="s">
        <v>34</v>
      </c>
      <c r="C11" s="55"/>
      <c r="D11" s="56" t="s">
        <v>35</v>
      </c>
      <c r="E11" s="56" t="s">
        <v>36</v>
      </c>
      <c r="F11" s="33" t="s">
        <v>37</v>
      </c>
      <c r="G11" s="34"/>
      <c r="H11" s="34"/>
      <c r="I11" s="58"/>
      <c r="J11" s="59"/>
      <c r="K11" s="60"/>
      <c r="L11" s="61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1"/>
      <c r="C12" s="28"/>
      <c r="D12" s="43">
        <v>5.6</v>
      </c>
      <c r="E12" s="43">
        <v>4.48</v>
      </c>
      <c r="F12" s="43">
        <v>5.48</v>
      </c>
      <c r="G12" s="46">
        <f>SUM(D12,E12,F12)</f>
        <v>15.56</v>
      </c>
      <c r="H12" s="49">
        <f>AVERAGE(D12,E12,F12)</f>
        <v>5.186666667</v>
      </c>
      <c r="I12" s="36"/>
      <c r="J12" s="50">
        <v>0.0</v>
      </c>
      <c r="K12" s="51"/>
      <c r="L12" s="52">
        <f>H12*J12</f>
        <v>0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3">
        <f>A11+1</f>
        <v>6</v>
      </c>
      <c r="B13" s="54" t="s">
        <v>38</v>
      </c>
      <c r="C13" s="55"/>
      <c r="D13" s="57" t="s">
        <v>254</v>
      </c>
      <c r="E13" s="56" t="s">
        <v>40</v>
      </c>
      <c r="F13" s="33" t="s">
        <v>41</v>
      </c>
      <c r="G13" s="34"/>
      <c r="H13" s="34"/>
      <c r="I13" s="58"/>
      <c r="J13" s="59"/>
      <c r="K13" s="60"/>
      <c r="L13" s="61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1"/>
      <c r="C14" s="28"/>
      <c r="D14" s="43">
        <v>5.96</v>
      </c>
      <c r="E14" s="63"/>
      <c r="F14" s="43">
        <v>5.23</v>
      </c>
      <c r="G14" s="46">
        <f>SUM(D14,E14,F14)</f>
        <v>11.19</v>
      </c>
      <c r="H14" s="49">
        <f>AVERAGE(D14,E14,F14)</f>
        <v>5.595</v>
      </c>
      <c r="I14" s="36"/>
      <c r="J14" s="50">
        <v>1.0</v>
      </c>
      <c r="K14" s="51"/>
      <c r="L14" s="52">
        <f>H14*J14</f>
        <v>5.595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3">
        <f>A13+1</f>
        <v>7</v>
      </c>
      <c r="B15" s="54" t="s">
        <v>43</v>
      </c>
      <c r="C15" s="55"/>
      <c r="D15" s="57" t="s">
        <v>330</v>
      </c>
      <c r="E15" s="56" t="s">
        <v>46</v>
      </c>
      <c r="F15" s="32" t="s">
        <v>46</v>
      </c>
      <c r="G15" s="34"/>
      <c r="H15" s="34"/>
      <c r="I15" s="58"/>
      <c r="J15" s="59"/>
      <c r="K15" s="60"/>
      <c r="L15" s="61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1"/>
      <c r="C16" s="28"/>
      <c r="D16" s="43">
        <v>9.99</v>
      </c>
      <c r="E16" s="63"/>
      <c r="F16" s="63"/>
      <c r="G16" s="46">
        <f>SUM(D16,E16,F16)</f>
        <v>9.99</v>
      </c>
      <c r="H16" s="49">
        <f>AVERAGE(D16,E16,F16)</f>
        <v>9.99</v>
      </c>
      <c r="I16" s="36"/>
      <c r="J16" s="50">
        <v>6.0</v>
      </c>
      <c r="K16" s="51"/>
      <c r="L16" s="52">
        <f>H16*J16</f>
        <v>59.94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3">
        <f>A15+1</f>
        <v>8</v>
      </c>
      <c r="B17" s="54" t="s">
        <v>49</v>
      </c>
      <c r="C17" s="55"/>
      <c r="D17" s="56" t="s">
        <v>50</v>
      </c>
      <c r="E17" s="56" t="s">
        <v>46</v>
      </c>
      <c r="F17" s="33" t="s">
        <v>46</v>
      </c>
      <c r="G17" s="34"/>
      <c r="H17" s="34"/>
      <c r="I17" s="58"/>
      <c r="J17" s="59"/>
      <c r="K17" s="60"/>
      <c r="L17" s="61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1"/>
      <c r="C18" s="28"/>
      <c r="D18" s="43">
        <v>7.5</v>
      </c>
      <c r="E18" s="63"/>
      <c r="F18" s="63"/>
      <c r="G18" s="46">
        <f>SUM(D18,E18,F18)</f>
        <v>7.5</v>
      </c>
      <c r="H18" s="49">
        <f>AVERAGE(D18,E18,F18)</f>
        <v>7.5</v>
      </c>
      <c r="I18" s="36"/>
      <c r="J18" s="50">
        <v>0.0</v>
      </c>
      <c r="K18" s="51"/>
      <c r="L18" s="52">
        <f>H18*J18</f>
        <v>0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3">
        <f>A17+1</f>
        <v>9</v>
      </c>
      <c r="B19" s="54" t="s">
        <v>51</v>
      </c>
      <c r="C19" s="55"/>
      <c r="D19" s="56" t="s">
        <v>52</v>
      </c>
      <c r="E19" s="56" t="s">
        <v>46</v>
      </c>
      <c r="F19" s="33" t="s">
        <v>46</v>
      </c>
      <c r="G19" s="34"/>
      <c r="H19" s="34"/>
      <c r="I19" s="58"/>
      <c r="J19" s="59"/>
      <c r="K19" s="60"/>
      <c r="L19" s="61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1"/>
      <c r="C20" s="28"/>
      <c r="D20" s="43">
        <v>9.96</v>
      </c>
      <c r="E20" s="63"/>
      <c r="F20" s="63"/>
      <c r="G20" s="46">
        <f>SUM(D20,E20,F20)</f>
        <v>9.96</v>
      </c>
      <c r="H20" s="49">
        <f>AVERAGE(D20,E20,F20)</f>
        <v>9.96</v>
      </c>
      <c r="I20" s="36"/>
      <c r="J20" s="50">
        <v>9.0</v>
      </c>
      <c r="K20" s="51"/>
      <c r="L20" s="52">
        <f>H20*J20</f>
        <v>89.64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3">
        <f>A19+1</f>
        <v>10</v>
      </c>
      <c r="B21" s="54" t="s">
        <v>54</v>
      </c>
      <c r="C21" s="55"/>
      <c r="D21" s="57" t="s">
        <v>55</v>
      </c>
      <c r="E21" s="56" t="s">
        <v>46</v>
      </c>
      <c r="F21" s="33" t="s">
        <v>46</v>
      </c>
      <c r="G21" s="34"/>
      <c r="H21" s="34"/>
      <c r="I21" s="58"/>
      <c r="J21" s="59"/>
      <c r="K21" s="60"/>
      <c r="L21" s="61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1"/>
      <c r="C22" s="28"/>
      <c r="D22" s="43">
        <v>25.5</v>
      </c>
      <c r="E22" s="63"/>
      <c r="F22" s="63"/>
      <c r="G22" s="46">
        <f>SUM(D22,E22,F22)</f>
        <v>25.5</v>
      </c>
      <c r="H22" s="49">
        <f>AVERAGE(D22,E22,F22)</f>
        <v>25.5</v>
      </c>
      <c r="I22" s="36"/>
      <c r="J22" s="50">
        <v>0.0</v>
      </c>
      <c r="K22" s="51"/>
      <c r="L22" s="52">
        <f>H22*J22</f>
        <v>0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3">
        <f>A21+1</f>
        <v>11</v>
      </c>
      <c r="B23" s="54" t="s">
        <v>56</v>
      </c>
      <c r="C23" s="55"/>
      <c r="D23" s="56" t="s">
        <v>57</v>
      </c>
      <c r="E23" s="56" t="s">
        <v>58</v>
      </c>
      <c r="F23" s="33" t="s">
        <v>46</v>
      </c>
      <c r="G23" s="34"/>
      <c r="H23" s="34"/>
      <c r="I23" s="58"/>
      <c r="J23" s="59"/>
      <c r="K23" s="60"/>
      <c r="L23" s="61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1"/>
      <c r="C24" s="28"/>
      <c r="D24" s="43">
        <v>12.0</v>
      </c>
      <c r="E24" s="43">
        <v>12.0</v>
      </c>
      <c r="F24" s="63"/>
      <c r="G24" s="46">
        <f>SUM(D24,E24,F24)</f>
        <v>24</v>
      </c>
      <c r="H24" s="49">
        <f>AVERAGE(D24,E24,F24)</f>
        <v>12</v>
      </c>
      <c r="I24" s="9"/>
      <c r="J24" s="50">
        <v>0.0</v>
      </c>
      <c r="K24" s="51"/>
      <c r="L24" s="52">
        <f>H24*J24</f>
        <v>0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3">
        <f>A23+1</f>
        <v>12</v>
      </c>
      <c r="B25" s="54" t="s">
        <v>59</v>
      </c>
      <c r="C25" s="55"/>
      <c r="D25" s="56" t="s">
        <v>60</v>
      </c>
      <c r="E25" s="56" t="s">
        <v>61</v>
      </c>
      <c r="F25" s="33" t="s">
        <v>62</v>
      </c>
      <c r="G25" s="34"/>
      <c r="H25" s="34"/>
      <c r="I25" s="9"/>
      <c r="J25" s="59"/>
      <c r="K25" s="60"/>
      <c r="L25" s="61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1"/>
      <c r="C26" s="28"/>
      <c r="D26" s="43">
        <v>5.98</v>
      </c>
      <c r="E26" s="63"/>
      <c r="F26" s="43">
        <v>5.85</v>
      </c>
      <c r="G26" s="46">
        <f>SUM(D26,E26,F26)</f>
        <v>11.83</v>
      </c>
      <c r="H26" s="49">
        <f>AVERAGE(D26,E26,F26)</f>
        <v>5.915</v>
      </c>
      <c r="I26" s="9"/>
      <c r="J26" s="50">
        <v>3.0</v>
      </c>
      <c r="K26" s="51"/>
      <c r="L26" s="52">
        <f>H26*J26</f>
        <v>17.745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3">
        <f>A25+1</f>
        <v>13</v>
      </c>
      <c r="B27" s="97" t="s">
        <v>233</v>
      </c>
      <c r="C27" s="55"/>
      <c r="D27" s="57" t="s">
        <v>277</v>
      </c>
      <c r="E27" s="57" t="s">
        <v>331</v>
      </c>
      <c r="F27" s="33" t="s">
        <v>67</v>
      </c>
      <c r="G27" s="34"/>
      <c r="H27" s="34"/>
      <c r="I27" s="9"/>
      <c r="J27" s="59"/>
      <c r="K27" s="60"/>
      <c r="L27" s="61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1"/>
      <c r="C28" s="28"/>
      <c r="D28" s="43">
        <v>3.2</v>
      </c>
      <c r="E28" s="43">
        <v>1.5</v>
      </c>
      <c r="F28" s="43"/>
      <c r="G28" s="46">
        <f>SUM(D28,E28,F28)</f>
        <v>4.7</v>
      </c>
      <c r="H28" s="49">
        <f>AVERAGE(D28,E28,F28)</f>
        <v>2.35</v>
      </c>
      <c r="I28" s="9"/>
      <c r="J28" s="50">
        <v>0.0</v>
      </c>
      <c r="K28" s="51"/>
      <c r="L28" s="52">
        <f>H28*J28</f>
        <v>0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3">
        <f>A27+1</f>
        <v>14</v>
      </c>
      <c r="B29" s="54" t="s">
        <v>68</v>
      </c>
      <c r="C29" s="55"/>
      <c r="D29" s="56" t="s">
        <v>69</v>
      </c>
      <c r="E29" s="56" t="s">
        <v>46</v>
      </c>
      <c r="F29" s="33" t="s">
        <v>46</v>
      </c>
      <c r="G29" s="34"/>
      <c r="H29" s="34"/>
      <c r="I29" s="9"/>
      <c r="J29" s="59"/>
      <c r="K29" s="60"/>
      <c r="L29" s="61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1"/>
      <c r="C30" s="28"/>
      <c r="D30" s="43">
        <v>14.96</v>
      </c>
      <c r="E30" s="63"/>
      <c r="F30" s="63"/>
      <c r="G30" s="46">
        <f>SUM(D30,E30,F30)</f>
        <v>14.96</v>
      </c>
      <c r="H30" s="49">
        <f>AVERAGE(D30,E30,F30)</f>
        <v>14.96</v>
      </c>
      <c r="I30" s="9"/>
      <c r="J30" s="50">
        <v>6.0</v>
      </c>
      <c r="K30" s="51"/>
      <c r="L30" s="52">
        <f>H30*J30</f>
        <v>89.76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3">
        <f>A29+1</f>
        <v>15</v>
      </c>
      <c r="B31" s="54" t="s">
        <v>70</v>
      </c>
      <c r="C31" s="55"/>
      <c r="D31" s="56" t="s">
        <v>71</v>
      </c>
      <c r="E31" s="56" t="s">
        <v>72</v>
      </c>
      <c r="F31" s="33" t="s">
        <v>46</v>
      </c>
      <c r="G31" s="34"/>
      <c r="H31" s="34"/>
      <c r="I31" s="9"/>
      <c r="J31" s="59"/>
      <c r="K31" s="60"/>
      <c r="L31" s="61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1"/>
      <c r="C32" s="28"/>
      <c r="D32" s="43">
        <v>4.96</v>
      </c>
      <c r="E32" s="43" t="s">
        <v>332</v>
      </c>
      <c r="F32" s="63"/>
      <c r="G32" s="46">
        <f>SUM(D32,E32,F32)</f>
        <v>4.96</v>
      </c>
      <c r="H32" s="49">
        <f>AVERAGE(D32,E32,F32)</f>
        <v>4.96</v>
      </c>
      <c r="I32" s="9"/>
      <c r="J32" s="50">
        <v>7.5</v>
      </c>
      <c r="K32" s="51"/>
      <c r="L32" s="52">
        <f>H32*J32</f>
        <v>37.2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3">
        <f>A31+1</f>
        <v>16</v>
      </c>
      <c r="B33" s="54" t="s">
        <v>73</v>
      </c>
      <c r="C33" s="55"/>
      <c r="D33" s="56" t="s">
        <v>75</v>
      </c>
      <c r="E33" s="56" t="s">
        <v>87</v>
      </c>
      <c r="F33" s="32" t="s">
        <v>333</v>
      </c>
      <c r="G33" s="34"/>
      <c r="H33" s="34"/>
      <c r="I33" s="9"/>
      <c r="J33" s="59"/>
      <c r="K33" s="60"/>
      <c r="L33" s="61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1"/>
      <c r="C34" s="28"/>
      <c r="D34" s="43">
        <v>6.98</v>
      </c>
      <c r="E34" s="43"/>
      <c r="F34" s="43">
        <v>8.99</v>
      </c>
      <c r="G34" s="46">
        <f>SUM(D34,E34,F34)</f>
        <v>15.97</v>
      </c>
      <c r="H34" s="49">
        <f>AVERAGE(D34,E34,F34)</f>
        <v>7.985</v>
      </c>
      <c r="I34" s="9"/>
      <c r="J34" s="50">
        <v>0.83</v>
      </c>
      <c r="K34" s="51"/>
      <c r="L34" s="52">
        <f>H34*J34</f>
        <v>6.62755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3">
        <f>A33+1</f>
        <v>17</v>
      </c>
      <c r="B35" s="54" t="s">
        <v>79</v>
      </c>
      <c r="C35" s="55"/>
      <c r="D35" s="57" t="s">
        <v>81</v>
      </c>
      <c r="E35" s="57" t="s">
        <v>218</v>
      </c>
      <c r="F35" s="33" t="s">
        <v>82</v>
      </c>
      <c r="G35" s="34"/>
      <c r="H35" s="34"/>
      <c r="I35" s="9"/>
      <c r="J35" s="59"/>
      <c r="K35" s="60"/>
      <c r="L35" s="61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1"/>
      <c r="C36" s="28"/>
      <c r="D36" s="43">
        <v>5.03</v>
      </c>
      <c r="E36" s="43">
        <v>5.85</v>
      </c>
      <c r="F36" s="43">
        <v>4.58</v>
      </c>
      <c r="G36" s="46">
        <f>SUM(D36,E36,F36)</f>
        <v>15.46</v>
      </c>
      <c r="H36" s="49">
        <f>AVERAGE(D36,E36,F36)</f>
        <v>5.153333333</v>
      </c>
      <c r="I36" s="9"/>
      <c r="J36" s="50">
        <v>7.5</v>
      </c>
      <c r="K36" s="51"/>
      <c r="L36" s="52">
        <f>H36*J36</f>
        <v>38.65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3">
        <f>A35+1</f>
        <v>18</v>
      </c>
      <c r="B37" s="97" t="s">
        <v>217</v>
      </c>
      <c r="C37" s="55"/>
      <c r="D37" s="56" t="s">
        <v>80</v>
      </c>
      <c r="E37" s="57" t="s">
        <v>334</v>
      </c>
      <c r="F37" s="32" t="s">
        <v>125</v>
      </c>
      <c r="G37" s="34"/>
      <c r="H37" s="34"/>
      <c r="I37" s="9"/>
      <c r="J37" s="59"/>
      <c r="K37" s="60"/>
      <c r="L37" s="61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1"/>
      <c r="C38" s="28"/>
      <c r="D38" s="43">
        <v>16.98</v>
      </c>
      <c r="E38" s="43">
        <v>19.9</v>
      </c>
      <c r="F38" s="43">
        <v>15.98</v>
      </c>
      <c r="G38" s="46">
        <f>SUM(D38,E38,F38)</f>
        <v>52.86</v>
      </c>
      <c r="H38" s="49">
        <f>AVERAGE(D38,E38,F38)</f>
        <v>17.62</v>
      </c>
      <c r="I38" s="9"/>
      <c r="J38" s="50">
        <v>0.0</v>
      </c>
      <c r="K38" s="51"/>
      <c r="L38" s="52">
        <f>H38*J38</f>
        <v>0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3">
        <f>A37+1</f>
        <v>19</v>
      </c>
      <c r="B39" s="54" t="s">
        <v>85</v>
      </c>
      <c r="C39" s="55"/>
      <c r="D39" s="57" t="s">
        <v>335</v>
      </c>
      <c r="E39" s="57" t="s">
        <v>336</v>
      </c>
      <c r="F39" s="33" t="s">
        <v>37</v>
      </c>
      <c r="G39" s="34"/>
      <c r="H39" s="34"/>
      <c r="I39" s="9"/>
      <c r="J39" s="59"/>
      <c r="K39" s="60"/>
      <c r="L39" s="61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1"/>
      <c r="C40" s="28"/>
      <c r="D40" s="43">
        <v>4.25</v>
      </c>
      <c r="E40" s="43"/>
      <c r="F40" s="43">
        <v>4.4</v>
      </c>
      <c r="G40" s="46">
        <f>SUM(D40,E40,F40)</f>
        <v>8.65</v>
      </c>
      <c r="H40" s="49">
        <f>AVERAGE(D40,E40,F40)</f>
        <v>4.325</v>
      </c>
      <c r="I40" s="9"/>
      <c r="J40" s="50">
        <v>0.0</v>
      </c>
      <c r="K40" s="51"/>
      <c r="L40" s="52">
        <f>H40*J40</f>
        <v>0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3">
        <f>A39+1</f>
        <v>20</v>
      </c>
      <c r="B41" s="54" t="s">
        <v>88</v>
      </c>
      <c r="C41" s="55"/>
      <c r="D41" s="56" t="s">
        <v>89</v>
      </c>
      <c r="E41" s="57" t="s">
        <v>337</v>
      </c>
      <c r="F41" s="33" t="s">
        <v>91</v>
      </c>
      <c r="G41" s="34"/>
      <c r="H41" s="34"/>
      <c r="I41" s="9"/>
      <c r="J41" s="59"/>
      <c r="K41" s="60"/>
      <c r="L41" s="61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1"/>
      <c r="C42" s="28"/>
      <c r="D42" s="43"/>
      <c r="E42" s="43">
        <v>3.95</v>
      </c>
      <c r="F42" s="43">
        <v>2.98</v>
      </c>
      <c r="G42" s="46">
        <f>SUM(D42,E42,F42)</f>
        <v>6.93</v>
      </c>
      <c r="H42" s="49">
        <f>AVERAGE(D42,E42,F42)</f>
        <v>3.465</v>
      </c>
      <c r="I42" s="9"/>
      <c r="J42" s="50">
        <v>0.0</v>
      </c>
      <c r="K42" s="51"/>
      <c r="L42" s="52">
        <f>H42*J42</f>
        <v>0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3">
        <f>A41+1</f>
        <v>21</v>
      </c>
      <c r="B43" s="54" t="s">
        <v>94</v>
      </c>
      <c r="C43" s="55"/>
      <c r="D43" s="57" t="s">
        <v>284</v>
      </c>
      <c r="E43" s="56" t="s">
        <v>96</v>
      </c>
      <c r="F43" s="33" t="s">
        <v>97</v>
      </c>
      <c r="G43" s="34"/>
      <c r="H43" s="34"/>
      <c r="I43" s="9"/>
      <c r="J43" s="59"/>
      <c r="K43" s="60"/>
      <c r="L43" s="61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1"/>
      <c r="C44" s="28"/>
      <c r="D44" s="43">
        <v>45.99</v>
      </c>
      <c r="E44" s="43">
        <v>45.99</v>
      </c>
      <c r="F44" s="43">
        <v>45.99</v>
      </c>
      <c r="G44" s="46">
        <f>SUM(D44,E44,F44)</f>
        <v>137.97</v>
      </c>
      <c r="H44" s="49">
        <f>AVERAGE(D44,E44,F44)</f>
        <v>45.99</v>
      </c>
      <c r="I44" s="9"/>
      <c r="J44" s="50">
        <v>3.0</v>
      </c>
      <c r="K44" s="51"/>
      <c r="L44" s="52">
        <f>H44*J44</f>
        <v>137.97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3">
        <f>A43+1</f>
        <v>22</v>
      </c>
      <c r="B45" s="54" t="s">
        <v>99</v>
      </c>
      <c r="C45" s="55"/>
      <c r="D45" s="57" t="s">
        <v>338</v>
      </c>
      <c r="E45" s="56" t="s">
        <v>102</v>
      </c>
      <c r="F45" s="33" t="s">
        <v>103</v>
      </c>
      <c r="G45" s="34"/>
      <c r="H45" s="34"/>
      <c r="I45" s="9"/>
      <c r="J45" s="59"/>
      <c r="K45" s="60"/>
      <c r="L45" s="61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1"/>
      <c r="C46" s="28"/>
      <c r="D46" s="43"/>
      <c r="E46" s="43">
        <v>17.99</v>
      </c>
      <c r="F46" s="63"/>
      <c r="G46" s="46">
        <f>SUM(D46,E46,F46)</f>
        <v>17.99</v>
      </c>
      <c r="H46" s="49">
        <f>AVERAGE(D46,E46,F46)</f>
        <v>17.99</v>
      </c>
      <c r="I46" s="9"/>
      <c r="J46" s="50">
        <v>3.0</v>
      </c>
      <c r="K46" s="51"/>
      <c r="L46" s="52">
        <f>H46*J46</f>
        <v>53.97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3">
        <f>A45+1</f>
        <v>23</v>
      </c>
      <c r="B47" s="54" t="s">
        <v>104</v>
      </c>
      <c r="C47" s="55"/>
      <c r="D47" s="57" t="s">
        <v>105</v>
      </c>
      <c r="E47" s="56" t="s">
        <v>106</v>
      </c>
      <c r="F47" s="33" t="s">
        <v>46</v>
      </c>
      <c r="G47" s="34"/>
      <c r="H47" s="34"/>
      <c r="I47" s="9"/>
      <c r="J47" s="59"/>
      <c r="K47" s="60"/>
      <c r="L47" s="61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1"/>
      <c r="C48" s="28"/>
      <c r="D48" s="43">
        <v>7.98</v>
      </c>
      <c r="E48" s="43">
        <v>12.99</v>
      </c>
      <c r="F48" s="43"/>
      <c r="G48" s="46">
        <f>SUM(D48,E48,F48)</f>
        <v>20.97</v>
      </c>
      <c r="H48" s="49">
        <f>AVERAGE(D48,E48,F48)</f>
        <v>10.485</v>
      </c>
      <c r="I48" s="9"/>
      <c r="J48" s="50">
        <v>0.0</v>
      </c>
      <c r="K48" s="51"/>
      <c r="L48" s="52">
        <f>H48*J48</f>
        <v>0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3">
        <f>A47+1</f>
        <v>24</v>
      </c>
      <c r="B49" s="54" t="s">
        <v>108</v>
      </c>
      <c r="C49" s="55"/>
      <c r="D49" s="57" t="s">
        <v>156</v>
      </c>
      <c r="E49" s="56" t="s">
        <v>106</v>
      </c>
      <c r="F49" s="33" t="s">
        <v>109</v>
      </c>
      <c r="G49" s="34"/>
      <c r="H49" s="34"/>
      <c r="I49" s="77"/>
      <c r="J49" s="59"/>
      <c r="K49" s="60"/>
      <c r="L49" s="61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1"/>
      <c r="C50" s="28"/>
      <c r="D50" s="43"/>
      <c r="E50" s="43">
        <v>11.8</v>
      </c>
      <c r="F50" s="43">
        <v>9.98</v>
      </c>
      <c r="G50" s="46">
        <f>SUM(D50,E50,F50)</f>
        <v>21.78</v>
      </c>
      <c r="H50" s="49">
        <f>AVERAGE(D50,E50,F50)</f>
        <v>10.89</v>
      </c>
      <c r="I50" s="9"/>
      <c r="J50" s="50">
        <v>0.0</v>
      </c>
      <c r="K50" s="51"/>
      <c r="L50" s="52">
        <f>H50*J50</f>
        <v>0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3">
        <f>A49+1</f>
        <v>25</v>
      </c>
      <c r="B51" s="54" t="s">
        <v>110</v>
      </c>
      <c r="C51" s="55"/>
      <c r="D51" s="57" t="s">
        <v>339</v>
      </c>
      <c r="E51" s="56" t="s">
        <v>106</v>
      </c>
      <c r="F51" s="33" t="s">
        <v>111</v>
      </c>
      <c r="G51" s="34"/>
      <c r="H51" s="34"/>
      <c r="I51" s="9"/>
      <c r="J51" s="59"/>
      <c r="K51" s="60"/>
      <c r="L51" s="61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1"/>
      <c r="C52" s="28"/>
      <c r="D52" s="43">
        <v>23.9</v>
      </c>
      <c r="E52" s="43">
        <v>20.9</v>
      </c>
      <c r="F52" s="43">
        <v>13.98</v>
      </c>
      <c r="G52" s="46">
        <f>SUM(D52,E52,F52)</f>
        <v>58.78</v>
      </c>
      <c r="H52" s="49">
        <f>AVERAGE(D52,E52,F52)</f>
        <v>19.59333333</v>
      </c>
      <c r="I52" s="9"/>
      <c r="J52" s="50">
        <v>0.0</v>
      </c>
      <c r="K52" s="51"/>
      <c r="L52" s="52">
        <f>H52*J52</f>
        <v>0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3">
        <f>A51+1</f>
        <v>26</v>
      </c>
      <c r="B53" s="54" t="s">
        <v>112</v>
      </c>
      <c r="C53" s="55"/>
      <c r="D53" s="57" t="s">
        <v>340</v>
      </c>
      <c r="E53" s="57" t="s">
        <v>130</v>
      </c>
      <c r="F53" s="32" t="s">
        <v>162</v>
      </c>
      <c r="G53" s="34"/>
      <c r="H53" s="34"/>
      <c r="I53" s="9"/>
      <c r="J53" s="59"/>
      <c r="K53" s="60"/>
      <c r="L53" s="61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1"/>
      <c r="C54" s="28"/>
      <c r="D54" s="43"/>
      <c r="E54" s="43">
        <v>63.0</v>
      </c>
      <c r="F54" s="43">
        <v>39.98</v>
      </c>
      <c r="G54" s="46">
        <f>SUM(D54,E54,F54)</f>
        <v>102.98</v>
      </c>
      <c r="H54" s="49">
        <f>AVERAGE(D54,E54,F54)</f>
        <v>51.49</v>
      </c>
      <c r="I54" s="9"/>
      <c r="J54" s="86">
        <v>0.0</v>
      </c>
      <c r="K54" s="87"/>
      <c r="L54" s="52">
        <f>H54*J54</f>
        <v>0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0" t="s">
        <v>115</v>
      </c>
      <c r="B55" s="89"/>
      <c r="C55" s="89"/>
      <c r="D55" s="89"/>
      <c r="E55" s="89"/>
      <c r="F55" s="89"/>
      <c r="G55" s="90"/>
      <c r="H55" s="91">
        <f>SUM(H4:H54)</f>
        <v>366.7733333</v>
      </c>
      <c r="I55" s="92"/>
      <c r="J55" s="93" t="s">
        <v>9</v>
      </c>
      <c r="K55" s="90"/>
      <c r="L55" s="94">
        <f>SUM(L4:L54)</f>
        <v>624.20755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95" t="s">
        <v>117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3">
        <f>A53+1</f>
        <v>27</v>
      </c>
      <c r="B57" s="97" t="s">
        <v>223</v>
      </c>
      <c r="C57" s="55"/>
      <c r="D57" s="56" t="s">
        <v>119</v>
      </c>
      <c r="E57" s="57" t="s">
        <v>248</v>
      </c>
      <c r="F57" s="33" t="s">
        <v>121</v>
      </c>
      <c r="G57" s="34"/>
      <c r="H57" s="34"/>
      <c r="I57" s="36"/>
      <c r="J57" s="98"/>
      <c r="K57" s="89"/>
      <c r="L57" s="96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1"/>
      <c r="C58" s="28"/>
      <c r="D58" s="43">
        <v>6.55</v>
      </c>
      <c r="E58" s="43"/>
      <c r="F58" s="43">
        <v>14.9</v>
      </c>
      <c r="G58" s="46">
        <f>SUM(D58,E58,F58)</f>
        <v>21.45</v>
      </c>
      <c r="H58" s="49">
        <f>AVERAGE(D58,E58,F58)</f>
        <v>10.725</v>
      </c>
      <c r="I58" s="9"/>
      <c r="J58" s="99">
        <v>4.0</v>
      </c>
      <c r="K58" s="51"/>
      <c r="L58" s="52">
        <f>H58*J58</f>
        <v>42.9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3">
        <f>A57+1</f>
        <v>28</v>
      </c>
      <c r="B59" s="54" t="s">
        <v>122</v>
      </c>
      <c r="C59" s="55"/>
      <c r="D59" s="56" t="s">
        <v>123</v>
      </c>
      <c r="E59" s="57" t="s">
        <v>168</v>
      </c>
      <c r="F59" s="33" t="s">
        <v>46</v>
      </c>
      <c r="G59" s="34"/>
      <c r="H59" s="34"/>
      <c r="I59" s="9"/>
      <c r="J59" s="98"/>
      <c r="K59" s="89"/>
      <c r="L59" s="96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1"/>
      <c r="C60" s="28"/>
      <c r="D60" s="43">
        <v>3.8</v>
      </c>
      <c r="E60" s="43">
        <v>2.95</v>
      </c>
      <c r="F60" s="63"/>
      <c r="G60" s="46">
        <f>SUM(D60,E60,F60)</f>
        <v>6.75</v>
      </c>
      <c r="H60" s="49">
        <f>AVERAGE(D60,E60,F60)</f>
        <v>3.375</v>
      </c>
      <c r="I60" s="9"/>
      <c r="J60" s="99">
        <v>15.0</v>
      </c>
      <c r="K60" s="51"/>
      <c r="L60" s="52">
        <f>H60*J60</f>
        <v>50.625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3">
        <f>A59+1</f>
        <v>29</v>
      </c>
      <c r="B61" s="54" t="s">
        <v>127</v>
      </c>
      <c r="C61" s="55"/>
      <c r="D61" s="56" t="s">
        <v>123</v>
      </c>
      <c r="E61" s="57" t="s">
        <v>169</v>
      </c>
      <c r="F61" s="32" t="s">
        <v>129</v>
      </c>
      <c r="G61" s="34"/>
      <c r="H61" s="34"/>
      <c r="I61" s="9"/>
      <c r="J61" s="98"/>
      <c r="K61" s="89"/>
      <c r="L61" s="96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1"/>
      <c r="C62" s="28"/>
      <c r="D62" s="43">
        <v>4.17</v>
      </c>
      <c r="E62" s="43">
        <v>4.25</v>
      </c>
      <c r="F62" s="43"/>
      <c r="G62" s="46">
        <f>SUM(D62,E62,F62)</f>
        <v>8.42</v>
      </c>
      <c r="H62" s="49">
        <f>AVERAGE(D62,E62,F62)</f>
        <v>4.21</v>
      </c>
      <c r="I62" s="9"/>
      <c r="J62" s="99">
        <v>2.0</v>
      </c>
      <c r="K62" s="51"/>
      <c r="L62" s="52">
        <f>H62*J62</f>
        <v>8.42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3">
        <f>A61+1</f>
        <v>30</v>
      </c>
      <c r="B63" s="54" t="s">
        <v>131</v>
      </c>
      <c r="C63" s="55"/>
      <c r="D63" s="56" t="s">
        <v>123</v>
      </c>
      <c r="E63" s="56" t="s">
        <v>124</v>
      </c>
      <c r="F63" s="33" t="s">
        <v>132</v>
      </c>
      <c r="G63" s="34"/>
      <c r="H63" s="34"/>
      <c r="I63" s="9"/>
      <c r="J63" s="98"/>
      <c r="K63" s="89"/>
      <c r="L63" s="96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1"/>
      <c r="C64" s="28"/>
      <c r="D64" s="43">
        <v>2.58</v>
      </c>
      <c r="E64" s="43">
        <v>2.59</v>
      </c>
      <c r="F64" s="43">
        <v>3.49</v>
      </c>
      <c r="G64" s="46">
        <f>SUM(D64,E64,F64)</f>
        <v>8.66</v>
      </c>
      <c r="H64" s="49">
        <f>AVERAGE(D64,E64,F64)</f>
        <v>2.886666667</v>
      </c>
      <c r="I64" s="9"/>
      <c r="J64" s="99">
        <v>2.0</v>
      </c>
      <c r="K64" s="51"/>
      <c r="L64" s="52">
        <f>H64*J64</f>
        <v>5.773333333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00" t="s">
        <v>115</v>
      </c>
      <c r="B65" s="89"/>
      <c r="C65" s="89"/>
      <c r="D65" s="89"/>
      <c r="E65" s="89"/>
      <c r="F65" s="89"/>
      <c r="G65" s="90"/>
      <c r="H65" s="91">
        <f>SUM(H57:H64)</f>
        <v>21.19666667</v>
      </c>
      <c r="I65" s="92"/>
      <c r="J65" s="93" t="s">
        <v>9</v>
      </c>
      <c r="K65" s="90"/>
      <c r="L65" s="94">
        <f>SUM(L57:L64)</f>
        <v>107.7183333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95" t="s">
        <v>134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3">
        <f>A63+1</f>
        <v>31</v>
      </c>
      <c r="B67" s="54" t="s">
        <v>136</v>
      </c>
      <c r="C67" s="55"/>
      <c r="D67" s="57" t="s">
        <v>138</v>
      </c>
      <c r="E67" s="57" t="s">
        <v>271</v>
      </c>
      <c r="F67" s="33" t="s">
        <v>139</v>
      </c>
      <c r="G67" s="34"/>
      <c r="H67" s="34"/>
      <c r="I67" s="36"/>
      <c r="J67" s="98"/>
      <c r="K67" s="89"/>
      <c r="L67" s="96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1"/>
      <c r="C68" s="28"/>
      <c r="D68" s="43"/>
      <c r="E68" s="43">
        <v>5.28</v>
      </c>
      <c r="F68" s="43">
        <v>6.9</v>
      </c>
      <c r="G68" s="46">
        <f>SUM(D68,E68,F68)</f>
        <v>12.18</v>
      </c>
      <c r="H68" s="49">
        <f>AVERAGE(D68,E68,F68)</f>
        <v>6.09</v>
      </c>
      <c r="I68" s="9"/>
      <c r="J68" s="99">
        <v>3.0</v>
      </c>
      <c r="K68" s="51"/>
      <c r="L68" s="52">
        <f>H68*J68</f>
        <v>18.27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3">
        <f>A67+1</f>
        <v>32</v>
      </c>
      <c r="B69" s="54" t="s">
        <v>140</v>
      </c>
      <c r="C69" s="55"/>
      <c r="D69" s="56" t="s">
        <v>160</v>
      </c>
      <c r="E69" s="56" t="s">
        <v>142</v>
      </c>
      <c r="F69" s="33" t="s">
        <v>46</v>
      </c>
      <c r="G69" s="34"/>
      <c r="H69" s="34"/>
      <c r="I69" s="9"/>
      <c r="J69" s="98"/>
      <c r="K69" s="89"/>
      <c r="L69" s="96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1"/>
      <c r="C70" s="28"/>
      <c r="D70" s="43">
        <v>7.5</v>
      </c>
      <c r="E70" s="43">
        <v>4.45</v>
      </c>
      <c r="F70" s="63"/>
      <c r="G70" s="46">
        <f>SUM(D70,E70,F70)</f>
        <v>11.95</v>
      </c>
      <c r="H70" s="49">
        <f>AVERAGE(D70,E70,F70)</f>
        <v>5.975</v>
      </c>
      <c r="I70" s="9"/>
      <c r="J70" s="99">
        <v>2.0</v>
      </c>
      <c r="K70" s="51"/>
      <c r="L70" s="52">
        <f>H70*J70</f>
        <v>11.95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3">
        <f>A69+1</f>
        <v>33</v>
      </c>
      <c r="B71" s="54" t="s">
        <v>144</v>
      </c>
      <c r="C71" s="55"/>
      <c r="D71" s="57" t="s">
        <v>145</v>
      </c>
      <c r="E71" s="56" t="s">
        <v>146</v>
      </c>
      <c r="F71" s="32" t="s">
        <v>176</v>
      </c>
      <c r="G71" s="34"/>
      <c r="H71" s="34"/>
      <c r="I71" s="9"/>
      <c r="J71" s="98"/>
      <c r="K71" s="89"/>
      <c r="L71" s="96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1"/>
      <c r="C72" s="28"/>
      <c r="D72" s="43">
        <v>3.2</v>
      </c>
      <c r="E72" s="43">
        <v>2.6</v>
      </c>
      <c r="F72" s="43">
        <v>2.0</v>
      </c>
      <c r="G72" s="46">
        <f>SUM(D72,E72,F72)</f>
        <v>7.8</v>
      </c>
      <c r="H72" s="49">
        <f>AVERAGE(D72,E72,F72)</f>
        <v>2.6</v>
      </c>
      <c r="I72" s="9"/>
      <c r="J72" s="99">
        <v>10.0</v>
      </c>
      <c r="K72" s="51"/>
      <c r="L72" s="52">
        <f>H72*J72</f>
        <v>26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3">
        <f>A71+1</f>
        <v>34</v>
      </c>
      <c r="B73" s="54" t="s">
        <v>149</v>
      </c>
      <c r="C73" s="55"/>
      <c r="D73" s="57" t="s">
        <v>150</v>
      </c>
      <c r="E73" s="57" t="s">
        <v>151</v>
      </c>
      <c r="F73" s="33" t="s">
        <v>46</v>
      </c>
      <c r="G73" s="34"/>
      <c r="H73" s="34"/>
      <c r="I73" s="9"/>
      <c r="J73" s="98"/>
      <c r="K73" s="89"/>
      <c r="L73" s="96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1"/>
      <c r="C74" s="28"/>
      <c r="D74" s="43">
        <v>16.8</v>
      </c>
      <c r="E74" s="43">
        <v>16.56</v>
      </c>
      <c r="F74" s="63"/>
      <c r="G74" s="46">
        <f>SUM(D74,E74,F74)</f>
        <v>33.36</v>
      </c>
      <c r="H74" s="49">
        <f>AVERAGE(D74,E74,F74)</f>
        <v>16.68</v>
      </c>
      <c r="I74" s="9"/>
      <c r="J74" s="99">
        <v>2.0</v>
      </c>
      <c r="K74" s="51"/>
      <c r="L74" s="52">
        <f>H74*J74</f>
        <v>33.36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3">
        <f>A73+1</f>
        <v>35</v>
      </c>
      <c r="B75" s="54" t="s">
        <v>152</v>
      </c>
      <c r="C75" s="55"/>
      <c r="D75" s="56" t="s">
        <v>153</v>
      </c>
      <c r="E75" s="56" t="s">
        <v>154</v>
      </c>
      <c r="F75" s="33" t="s">
        <v>46</v>
      </c>
      <c r="G75" s="34"/>
      <c r="H75" s="34"/>
      <c r="I75" s="9"/>
      <c r="J75" s="98"/>
      <c r="K75" s="89"/>
      <c r="L75" s="96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1"/>
      <c r="C76" s="28"/>
      <c r="D76" s="43">
        <v>5.95</v>
      </c>
      <c r="E76" s="43">
        <v>10.9</v>
      </c>
      <c r="F76" s="63"/>
      <c r="G76" s="46">
        <f>SUM(D76,E76,F76)</f>
        <v>16.85</v>
      </c>
      <c r="H76" s="49">
        <f>AVERAGE(D76,E76,F76)</f>
        <v>8.425</v>
      </c>
      <c r="I76" s="9"/>
      <c r="J76" s="99">
        <v>1.0</v>
      </c>
      <c r="K76" s="51"/>
      <c r="L76" s="52">
        <f>H76*J76</f>
        <v>8.425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00" t="s">
        <v>115</v>
      </c>
      <c r="B77" s="89"/>
      <c r="C77" s="89"/>
      <c r="D77" s="89"/>
      <c r="E77" s="89"/>
      <c r="F77" s="89"/>
      <c r="G77" s="90"/>
      <c r="H77" s="101">
        <f>SUM(H68:H76)</f>
        <v>39.77</v>
      </c>
      <c r="I77" s="92"/>
      <c r="J77" s="93" t="s">
        <v>9</v>
      </c>
      <c r="K77" s="90"/>
      <c r="L77" s="102">
        <f>SUM(L68:L76)</f>
        <v>98.005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9"/>
      <c r="J78" s="104"/>
      <c r="K78" s="104"/>
      <c r="L78" s="106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9"/>
      <c r="J79" s="104"/>
      <c r="K79" s="104"/>
      <c r="L79" s="106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427.74</v>
      </c>
      <c r="I80" s="9"/>
      <c r="J80" s="9"/>
      <c r="K80" s="107" t="s">
        <v>9</v>
      </c>
      <c r="L80" s="102">
        <f>L55+L65+L77</f>
        <v>829.9308833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9"/>
      <c r="J82" s="104"/>
      <c r="K82" s="104"/>
      <c r="L82" s="105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9"/>
      <c r="J83" s="104"/>
      <c r="K83" s="104"/>
      <c r="L83" s="105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